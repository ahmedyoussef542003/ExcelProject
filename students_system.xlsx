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120" windowWidth="22980" windowHeight="9288" activeTab="2"/>
  </bookViews>
  <sheets>
    <sheet name="معلومات الطلاب" sheetId="1" r:id="rId1"/>
    <sheet name="درجات الفصل الأول" sheetId="2" r:id="rId2"/>
    <sheet name="درجات الفصل الثاني" sheetId="4" r:id="rId3"/>
  </sheets>
  <calcPr calcId="144525"/>
</workbook>
</file>

<file path=xl/calcChain.xml><?xml version="1.0" encoding="utf-8"?>
<calcChain xmlns="http://schemas.openxmlformats.org/spreadsheetml/2006/main">
  <c r="E27" i="4" l="1"/>
  <c r="D27" i="4"/>
  <c r="C27" i="4"/>
  <c r="B27" i="4"/>
  <c r="A27" i="4"/>
  <c r="E26" i="4"/>
  <c r="D26" i="4"/>
  <c r="C26" i="4"/>
  <c r="B26" i="4"/>
  <c r="A26" i="4"/>
  <c r="E25" i="4"/>
  <c r="D25" i="4"/>
  <c r="C25" i="4"/>
  <c r="B25" i="4"/>
  <c r="A25" i="4"/>
  <c r="E24" i="4"/>
  <c r="D24" i="4"/>
  <c r="C24" i="4"/>
  <c r="B24" i="4"/>
  <c r="A24" i="4"/>
  <c r="E23" i="4"/>
  <c r="D23" i="4"/>
  <c r="C23" i="4"/>
  <c r="B23" i="4"/>
  <c r="A23" i="4"/>
  <c r="E22" i="4"/>
  <c r="D22" i="4"/>
  <c r="C22" i="4"/>
  <c r="B22" i="4"/>
  <c r="A22" i="4"/>
  <c r="E21" i="4"/>
  <c r="D21" i="4"/>
  <c r="C21" i="4"/>
  <c r="B21" i="4"/>
  <c r="A21" i="4"/>
  <c r="E20" i="4"/>
  <c r="D20" i="4"/>
  <c r="C20" i="4"/>
  <c r="B20" i="4"/>
  <c r="A20" i="4"/>
  <c r="E19" i="4"/>
  <c r="D19" i="4"/>
  <c r="C19" i="4"/>
  <c r="B19" i="4"/>
  <c r="A19" i="4"/>
  <c r="E18" i="4"/>
  <c r="D18" i="4"/>
  <c r="C18" i="4"/>
  <c r="B18" i="4"/>
  <c r="A18" i="4"/>
  <c r="E17" i="4"/>
  <c r="D17" i="4"/>
  <c r="C17" i="4"/>
  <c r="B17" i="4"/>
  <c r="A17" i="4"/>
  <c r="E16" i="4"/>
  <c r="D16" i="4"/>
  <c r="C16" i="4"/>
  <c r="B16" i="4"/>
  <c r="A16" i="4"/>
  <c r="E15" i="4"/>
  <c r="D15" i="4"/>
  <c r="C15" i="4"/>
  <c r="B15" i="4"/>
  <c r="A15" i="4"/>
  <c r="E14" i="4"/>
  <c r="D14" i="4"/>
  <c r="C14" i="4"/>
  <c r="B14" i="4"/>
  <c r="A14" i="4"/>
  <c r="Y13" i="4"/>
  <c r="X13" i="4"/>
  <c r="Z13" i="4" s="1"/>
  <c r="E13" i="4"/>
  <c r="D13" i="4"/>
  <c r="C13" i="4"/>
  <c r="B13" i="4"/>
  <c r="A13" i="4"/>
  <c r="Y12" i="4"/>
  <c r="X12" i="4"/>
  <c r="Z12" i="4" s="1"/>
  <c r="AB12" i="4" s="1"/>
  <c r="E12" i="4"/>
  <c r="D12" i="4"/>
  <c r="C12" i="4"/>
  <c r="B12" i="4"/>
  <c r="A12" i="4"/>
  <c r="Y11" i="4"/>
  <c r="X11" i="4"/>
  <c r="E11" i="4"/>
  <c r="D11" i="4"/>
  <c r="C11" i="4"/>
  <c r="B11" i="4"/>
  <c r="A11" i="4"/>
  <c r="Y10" i="4"/>
  <c r="X10" i="4"/>
  <c r="Z10" i="4" s="1"/>
  <c r="E10" i="4"/>
  <c r="D10" i="4"/>
  <c r="C10" i="4"/>
  <c r="B10" i="4"/>
  <c r="A10" i="4"/>
  <c r="Y9" i="4"/>
  <c r="X9" i="4"/>
  <c r="Z9" i="4" s="1"/>
  <c r="E9" i="4"/>
  <c r="D9" i="4"/>
  <c r="C9" i="4"/>
  <c r="B9" i="4"/>
  <c r="A9" i="4"/>
  <c r="Y8" i="4"/>
  <c r="X8" i="4"/>
  <c r="E8" i="4"/>
  <c r="D8" i="4"/>
  <c r="C8" i="4"/>
  <c r="B8" i="4"/>
  <c r="A8" i="4"/>
  <c r="Y7" i="4"/>
  <c r="X7" i="4"/>
  <c r="E7" i="4"/>
  <c r="D7" i="4"/>
  <c r="C7" i="4"/>
  <c r="B7" i="4"/>
  <c r="A7" i="4"/>
  <c r="Y6" i="4"/>
  <c r="X6" i="4"/>
  <c r="Z6" i="4" s="1"/>
  <c r="E6" i="4"/>
  <c r="D6" i="4"/>
  <c r="C6" i="4"/>
  <c r="B6" i="4"/>
  <c r="A6" i="4"/>
  <c r="Y5" i="4"/>
  <c r="X5" i="4"/>
  <c r="Z5" i="4" s="1"/>
  <c r="E5" i="4"/>
  <c r="D5" i="4"/>
  <c r="C5" i="4"/>
  <c r="B5" i="4"/>
  <c r="A5" i="4"/>
  <c r="Y4" i="4"/>
  <c r="X4" i="4"/>
  <c r="E4" i="4"/>
  <c r="D4" i="4"/>
  <c r="C4" i="4"/>
  <c r="B4" i="4"/>
  <c r="A4" i="4"/>
  <c r="E27" i="2"/>
  <c r="D27" i="2"/>
  <c r="C27" i="2"/>
  <c r="B26" i="2"/>
  <c r="B27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B14" i="2"/>
  <c r="B15" i="2"/>
  <c r="B16" i="2"/>
  <c r="B17" i="2"/>
  <c r="B18" i="2"/>
  <c r="B19" i="2"/>
  <c r="B20" i="2"/>
  <c r="B21" i="2"/>
  <c r="B22" i="2"/>
  <c r="B23" i="2"/>
  <c r="B24" i="2"/>
  <c r="B25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B13" i="2"/>
  <c r="AB5" i="2"/>
  <c r="AB6" i="2"/>
  <c r="AB7" i="2"/>
  <c r="AB8" i="2"/>
  <c r="AB9" i="2"/>
  <c r="AB10" i="2"/>
  <c r="AB11" i="2"/>
  <c r="AB12" i="2"/>
  <c r="AB13" i="2"/>
  <c r="AB4" i="2"/>
  <c r="AA5" i="2"/>
  <c r="AA6" i="2"/>
  <c r="AA7" i="2"/>
  <c r="AA8" i="2"/>
  <c r="AA9" i="2"/>
  <c r="AA10" i="2"/>
  <c r="AA11" i="2"/>
  <c r="AA12" i="2"/>
  <c r="AA13" i="2"/>
  <c r="AA4" i="2"/>
  <c r="Z5" i="2"/>
  <c r="Z6" i="2"/>
  <c r="Z7" i="2"/>
  <c r="Z8" i="2"/>
  <c r="Z9" i="2"/>
  <c r="Z10" i="2"/>
  <c r="Z11" i="2"/>
  <c r="Z12" i="2"/>
  <c r="Z13" i="2"/>
  <c r="Z4" i="2"/>
  <c r="Y5" i="2"/>
  <c r="Y6" i="2"/>
  <c r="Y7" i="2"/>
  <c r="Y8" i="2"/>
  <c r="Y9" i="2"/>
  <c r="Y10" i="2"/>
  <c r="Y11" i="2"/>
  <c r="Y12" i="2"/>
  <c r="Y13" i="2"/>
  <c r="X5" i="2"/>
  <c r="X6" i="2"/>
  <c r="X7" i="2"/>
  <c r="X8" i="2"/>
  <c r="X9" i="2"/>
  <c r="X10" i="2"/>
  <c r="X11" i="2"/>
  <c r="X12" i="2"/>
  <c r="X13" i="2"/>
  <c r="X4" i="2"/>
  <c r="Y4" i="2"/>
  <c r="Z7" i="4" l="1"/>
  <c r="AB7" i="4" s="1"/>
  <c r="Z11" i="4"/>
  <c r="AA11" i="4" s="1"/>
  <c r="Z8" i="4"/>
  <c r="AB8" i="4" s="1"/>
  <c r="Z4" i="4"/>
  <c r="AB13" i="4"/>
  <c r="AA13" i="4"/>
  <c r="AB4" i="4"/>
  <c r="AA4" i="4"/>
  <c r="AA7" i="4"/>
  <c r="AB10" i="4"/>
  <c r="AA10" i="4"/>
  <c r="AB9" i="4"/>
  <c r="AA9" i="4"/>
  <c r="AB6" i="4"/>
  <c r="AA6" i="4"/>
  <c r="AB5" i="4"/>
  <c r="AA5" i="4"/>
  <c r="AA12" i="4"/>
  <c r="E5" i="2"/>
  <c r="E6" i="2"/>
  <c r="E7" i="2"/>
  <c r="E8" i="2"/>
  <c r="E9" i="2"/>
  <c r="E10" i="2"/>
  <c r="E11" i="2"/>
  <c r="E12" i="2"/>
  <c r="E4" i="2"/>
  <c r="D5" i="2"/>
  <c r="D6" i="2"/>
  <c r="D7" i="2"/>
  <c r="D8" i="2"/>
  <c r="D9" i="2"/>
  <c r="D10" i="2"/>
  <c r="D11" i="2"/>
  <c r="D12" i="2"/>
  <c r="D4" i="2"/>
  <c r="C5" i="2"/>
  <c r="C6" i="2"/>
  <c r="C7" i="2"/>
  <c r="C8" i="2"/>
  <c r="C9" i="2"/>
  <c r="C10" i="2"/>
  <c r="C11" i="2"/>
  <c r="C12" i="2"/>
  <c r="C4" i="2"/>
  <c r="B5" i="2"/>
  <c r="B6" i="2"/>
  <c r="B7" i="2"/>
  <c r="B8" i="2"/>
  <c r="B9" i="2"/>
  <c r="B10" i="2"/>
  <c r="B11" i="2"/>
  <c r="B12" i="2"/>
  <c r="B4" i="2"/>
  <c r="A5" i="2"/>
  <c r="A6" i="2"/>
  <c r="A7" i="2"/>
  <c r="A8" i="2"/>
  <c r="A9" i="2"/>
  <c r="A10" i="2"/>
  <c r="A11" i="2"/>
  <c r="A12" i="2"/>
  <c r="A4" i="2"/>
  <c r="AB11" i="4" l="1"/>
  <c r="AA8" i="4"/>
</calcChain>
</file>

<file path=xl/sharedStrings.xml><?xml version="1.0" encoding="utf-8"?>
<sst xmlns="http://schemas.openxmlformats.org/spreadsheetml/2006/main" count="121" uniqueCount="54">
  <si>
    <t>رقم الطالبة</t>
  </si>
  <si>
    <t>اسم الطالبة</t>
  </si>
  <si>
    <t>السنة الدراسية</t>
  </si>
  <si>
    <t>الصف الدراسي</t>
  </si>
  <si>
    <t>الفصل</t>
  </si>
  <si>
    <t>المادة</t>
  </si>
  <si>
    <t>اسم المعلمة</t>
  </si>
  <si>
    <t>سارة أحمد المحمد</t>
  </si>
  <si>
    <t>2025 - 2026</t>
  </si>
  <si>
    <t>الخامس</t>
  </si>
  <si>
    <t>رياضيات</t>
  </si>
  <si>
    <t>أ. نورة الغامدي</t>
  </si>
  <si>
    <t>نورة خالد العتيبي</t>
  </si>
  <si>
    <t>ريم عبد الله السبيعي</t>
  </si>
  <si>
    <t>شهد فهد القحطاني</t>
  </si>
  <si>
    <t>مريم علي الشهري</t>
  </si>
  <si>
    <t>أروى محمد الدوسري</t>
  </si>
  <si>
    <t>السادس</t>
  </si>
  <si>
    <t>علوم</t>
  </si>
  <si>
    <t>أ. مريم الشمري</t>
  </si>
  <si>
    <t>لجين حمد العبد الله</t>
  </si>
  <si>
    <t>جود سلطان العتيبي</t>
  </si>
  <si>
    <t>حلا يوسف المطر</t>
  </si>
  <si>
    <t>غادة إبراهيم الزهراني</t>
  </si>
  <si>
    <t>نظام التحليل المدرسي الموحد - قاعدة بيانات الطلاب</t>
  </si>
  <si>
    <t>كويز 1</t>
  </si>
  <si>
    <t>كويز 2</t>
  </si>
  <si>
    <t>كويز 3</t>
  </si>
  <si>
    <t>كويز 4</t>
  </si>
  <si>
    <t>كويز 5</t>
  </si>
  <si>
    <t>الفترة الأولى</t>
  </si>
  <si>
    <t>الفترة الثانية</t>
  </si>
  <si>
    <t>اختبار التحسين</t>
  </si>
  <si>
    <t>اختبار نهاية الفصل</t>
  </si>
  <si>
    <t>المجموع المستحق</t>
  </si>
  <si>
    <t>المجموع الكلي</t>
  </si>
  <si>
    <t>النسبة المئوية</t>
  </si>
  <si>
    <t>التقدير العام</t>
  </si>
  <si>
    <t>حالة الخطة العلاجية</t>
  </si>
  <si>
    <t>رقم</t>
  </si>
  <si>
    <t>الطالبة</t>
  </si>
  <si>
    <t>كويز 1 الكلي</t>
  </si>
  <si>
    <t>كويز 2 الكلي</t>
  </si>
  <si>
    <t>كويز 3 الكلي</t>
  </si>
  <si>
    <t>كويز 4 الكلي</t>
  </si>
  <si>
    <t>كويز 5 الكلي</t>
  </si>
  <si>
    <t>الفترة الأولى الكلي</t>
  </si>
  <si>
    <t>الفترة الثانية الكلي</t>
  </si>
  <si>
    <t>اختبار التحسين الكلي</t>
  </si>
  <si>
    <t>اختبار نهاية الفصل الكلي</t>
  </si>
  <si>
    <t>السجل الشامل لدرجات وحالة أداء الطالبات - الفصل الدراسي الأول</t>
  </si>
  <si>
    <t>نوهان ثروت علي</t>
  </si>
  <si>
    <t>2026 - 2026</t>
  </si>
  <si>
    <t>السجل الشامل لدرجات وحالة أداء الطالبات - الفصل الدراسي الثاني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</si>
</sst>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2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6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/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medium">
        <color rgb="FFC4C7C5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right" vertical="center" wrapText="1" indent="1" readingOrder="2"/>
    </xf>
    <xf numFmtId="0" fontId="1" fillId="0" borderId="1" xfId="0" applyFont="1" applyBorder="1" applyAlignment="1">
      <alignment horizontal="right" vertical="center" wrapText="1" indent="1" readingOrder="2"/>
    </xf>
    <xf numFmtId="0" fontId="2" fillId="0" borderId="3" xfId="0" applyFont="1" applyBorder="1" applyAlignment="1">
      <alignment horizontal="right" vertical="center" wrapText="1" indent="1" readingOrder="2"/>
    </xf>
    <xf numFmtId="0" fontId="3" fillId="2" borderId="2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right" vertical="center" wrapText="1" indent="1" readingOrder="2"/>
    </xf>
    <xf numFmtId="0" fontId="1" fillId="0" borderId="5" xfId="0" applyFont="1" applyFill="1" applyBorder="1" applyAlignment="1">
      <alignment horizontal="right" vertical="center" wrapText="1" indent="1" readingOrder="2"/>
    </xf>
    <xf numFmtId="0" fontId="1" fillId="0" borderId="0" xfId="0" applyFont="1" applyFill="1" applyBorder="1" applyAlignment="1">
      <alignment horizontal="right" vertical="center" wrapText="1" indent="1" readingOrder="2"/>
    </xf>
    <xf numFmtId="0" fontId="5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</cellXfs>
  <cellStyles count="1">
    <cellStyle name="Normal" xfId="0" builtinId="0"/>
  </cellStyles>
  <dxfs count="17">
    <dxf>
      <border outline="0">
        <bottom style="medium">
          <color rgb="FFC4C7C5"/>
        </bottom>
      </border>
    </dxf>
    <dxf>
      <border outline="0">
        <top style="medium">
          <color rgb="FFC4C7C5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border outline="0">
        <bottom style="medium">
          <color rgb="FFC4C7C5"/>
        </bottom>
      </border>
    </dxf>
    <dxf>
      <border outline="0">
        <top style="medium">
          <color rgb="FFC4C7C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3" name="الجدول3" displayName="الجدول3" ref="A2:G16" totalsRowShown="0" headerRowDxfId="16" dataDxfId="14" headerRowBorderDxfId="15" tableBorderDxfId="13">
  <autoFilter ref="A2:G16"/>
  <tableColumns count="7">
    <tableColumn id="1" name="رقم الطالبة" dataDxfId="12"/>
    <tableColumn id="2" name="اسم الطالبة" dataDxfId="11"/>
    <tableColumn id="3" name="السنة الدراسية" dataDxfId="10"/>
    <tableColumn id="4" name="الصف الدراسي" dataDxfId="9"/>
    <tableColumn id="5" name="الفصل" dataDxfId="8"/>
    <tableColumn id="6" name="المادة" dataDxfId="7"/>
    <tableColumn id="7" name="اسم المعلمة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الجدول1" displayName="الجدول1" ref="A3:AB411" totalsRowShown="0" headerRowDxfId="3" headerRowBorderDxfId="4" tableBorderDxfId="5">
  <autoFilter ref="A3:AB411"/>
  <tableColumns count="28">
    <tableColumn id="1" name="رقم"/>
    <tableColumn id="2" name="الطالبة"/>
    <tableColumn id="3" name="الصف الدراسي"/>
    <tableColumn id="4" name="الفصل"/>
    <tableColumn id="5" name="المادة"/>
    <tableColumn id="6" name="كويز 1"/>
    <tableColumn id="7" name="كويز 1 الكلي"/>
    <tableColumn id="8" name="كويز 2"/>
    <tableColumn id="9" name="كويز 2 الكلي"/>
    <tableColumn id="10" name="كويز 3"/>
    <tableColumn id="11" name="كويز 3 الكلي"/>
    <tableColumn id="12" name="كويز 4"/>
    <tableColumn id="13" name="كويز 4 الكلي"/>
    <tableColumn id="14" name="كويز 5"/>
    <tableColumn id="15" name="كويز 5 الكلي"/>
    <tableColumn id="16" name="الفترة الأولى"/>
    <tableColumn id="17" name="الفترة الأولى الكلي"/>
    <tableColumn id="18" name="الفترة الثانية"/>
    <tableColumn id="19" name="الفترة الثانية الكلي"/>
    <tableColumn id="20" name="اختبار التحسين"/>
    <tableColumn id="21" name="اختبار التحسين الكلي"/>
    <tableColumn id="22" name="اختبار نهاية الفصل"/>
    <tableColumn id="23" name="اختبار نهاية الفصل الكلي"/>
    <tableColumn id="24" name="المجموع المستحق"/>
    <tableColumn id="25" name="المجموع الكلي"/>
    <tableColumn id="26" name="النسبة المئوية"/>
    <tableColumn id="27" name="التقدير العام"/>
    <tableColumn id="28" name="حالة الخطة العلاجية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2" name="الجدول13" displayName="الجدول13" ref="A3:AB411" totalsRowShown="0" headerRowDxfId="2" headerRowBorderDxfId="0" tableBorderDxfId="1">
  <autoFilter ref="A3:AB411"/>
  <tableColumns count="28">
    <tableColumn id="1" name="رقم"/>
    <tableColumn id="2" name="الطالبة"/>
    <tableColumn id="3" name="الصف الدراسي"/>
    <tableColumn id="4" name="الفصل"/>
    <tableColumn id="5" name="المادة"/>
    <tableColumn id="6" name="كويز 1"/>
    <tableColumn id="7" name="كويز 1 الكلي"/>
    <tableColumn id="8" name="كويز 2"/>
    <tableColumn id="9" name="كويز 2 الكلي"/>
    <tableColumn id="10" name="كويز 3"/>
    <tableColumn id="11" name="كويز 3 الكلي"/>
    <tableColumn id="12" name="كويز 4"/>
    <tableColumn id="13" name="كويز 4 الكلي"/>
    <tableColumn id="14" name="كويز 5"/>
    <tableColumn id="15" name="كويز 5 الكلي"/>
    <tableColumn id="16" name="الفترة الأولى"/>
    <tableColumn id="17" name="الفترة الأولى الكلي"/>
    <tableColumn id="18" name="الفترة الثانية"/>
    <tableColumn id="19" name="الفترة الثانية الكلي"/>
    <tableColumn id="20" name="اختبار التحسين"/>
    <tableColumn id="21" name="اختبار التحسين الكلي"/>
    <tableColumn id="22" name="اختبار نهاية الفصل"/>
    <tableColumn id="23" name="اختبار نهاية الفصل الكلي"/>
    <tableColumn id="24" name="المجموع المستحق"/>
    <tableColumn id="25" name="المجموع الكلي"/>
    <tableColumn id="26" name="النسبة المئوية"/>
    <tableColumn id="27" name="التقدير العام"/>
    <tableColumn id="28" name="حالة الخطة العلاجية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rightToLeft="1" workbookViewId="0">
      <selection activeCell="A13" sqref="A13:G13"/>
    </sheetView>
  </sheetViews>
  <sheetFormatPr defaultRowHeight="14.4" x14ac:dyDescent="0.3"/>
  <cols>
    <col min="1" max="1" width="16.88671875" customWidth="1"/>
    <col min="2" max="2" width="20.77734375" customWidth="1"/>
    <col min="3" max="3" width="15.21875" customWidth="1"/>
    <col min="4" max="4" width="18.88671875" customWidth="1"/>
    <col min="5" max="5" width="15.109375" customWidth="1"/>
    <col min="6" max="6" width="23" customWidth="1"/>
    <col min="7" max="7" width="30" customWidth="1"/>
  </cols>
  <sheetData>
    <row r="1" spans="1:7" ht="45" customHeight="1" thickBot="1" x14ac:dyDescent="0.35">
      <c r="A1" s="4" t="s">
        <v>24</v>
      </c>
      <c r="B1" s="4"/>
      <c r="C1" s="4"/>
      <c r="D1" s="4"/>
      <c r="E1" s="4"/>
      <c r="F1" s="4"/>
      <c r="G1" s="4"/>
    </row>
    <row r="2" spans="1:7" ht="15" thickBot="1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</row>
    <row r="3" spans="1:7" ht="15" thickBot="1" x14ac:dyDescent="0.35">
      <c r="A3" s="2">
        <v>1001</v>
      </c>
      <c r="B3" s="2" t="s">
        <v>7</v>
      </c>
      <c r="C3" s="2" t="s">
        <v>8</v>
      </c>
      <c r="D3" s="2" t="s">
        <v>9</v>
      </c>
      <c r="E3" s="2">
        <v>1</v>
      </c>
      <c r="F3" s="2" t="s">
        <v>10</v>
      </c>
      <c r="G3" s="2" t="s">
        <v>11</v>
      </c>
    </row>
    <row r="4" spans="1:7" ht="15" thickBot="1" x14ac:dyDescent="0.35">
      <c r="A4" s="2">
        <v>1002</v>
      </c>
      <c r="B4" s="2" t="s">
        <v>12</v>
      </c>
      <c r="C4" s="2" t="s">
        <v>8</v>
      </c>
      <c r="D4" s="2" t="s">
        <v>9</v>
      </c>
      <c r="E4" s="2">
        <v>1</v>
      </c>
      <c r="F4" s="2" t="s">
        <v>10</v>
      </c>
      <c r="G4" s="2" t="s">
        <v>11</v>
      </c>
    </row>
    <row r="5" spans="1:7" ht="15" thickBot="1" x14ac:dyDescent="0.35">
      <c r="A5" s="2">
        <v>1003</v>
      </c>
      <c r="B5" s="2" t="s">
        <v>13</v>
      </c>
      <c r="C5" s="2" t="s">
        <v>8</v>
      </c>
      <c r="D5" s="2" t="s">
        <v>9</v>
      </c>
      <c r="E5" s="2">
        <v>1</v>
      </c>
      <c r="F5" s="2" t="s">
        <v>10</v>
      </c>
      <c r="G5" s="2" t="s">
        <v>11</v>
      </c>
    </row>
    <row r="6" spans="1:7" ht="15" thickBot="1" x14ac:dyDescent="0.35">
      <c r="A6" s="2">
        <v>1004</v>
      </c>
      <c r="B6" s="2" t="s">
        <v>14</v>
      </c>
      <c r="C6" s="2" t="s">
        <v>8</v>
      </c>
      <c r="D6" s="2" t="s">
        <v>9</v>
      </c>
      <c r="E6" s="2">
        <v>2</v>
      </c>
      <c r="F6" s="2" t="s">
        <v>10</v>
      </c>
      <c r="G6" s="2" t="s">
        <v>11</v>
      </c>
    </row>
    <row r="7" spans="1:7" ht="15" thickBot="1" x14ac:dyDescent="0.35">
      <c r="A7" s="2">
        <v>1005</v>
      </c>
      <c r="B7" s="2" t="s">
        <v>15</v>
      </c>
      <c r="C7" s="2" t="s">
        <v>8</v>
      </c>
      <c r="D7" s="2" t="s">
        <v>9</v>
      </c>
      <c r="E7" s="2">
        <v>2</v>
      </c>
      <c r="F7" s="2" t="s">
        <v>10</v>
      </c>
      <c r="G7" s="2" t="s">
        <v>11</v>
      </c>
    </row>
    <row r="8" spans="1:7" ht="15" thickBot="1" x14ac:dyDescent="0.35">
      <c r="A8" s="2">
        <v>1006</v>
      </c>
      <c r="B8" s="2" t="s">
        <v>16</v>
      </c>
      <c r="C8" s="2" t="s">
        <v>8</v>
      </c>
      <c r="D8" s="2" t="s">
        <v>17</v>
      </c>
      <c r="E8" s="2">
        <v>1</v>
      </c>
      <c r="F8" s="2" t="s">
        <v>18</v>
      </c>
      <c r="G8" s="2" t="s">
        <v>19</v>
      </c>
    </row>
    <row r="9" spans="1:7" ht="15" thickBot="1" x14ac:dyDescent="0.35">
      <c r="A9" s="2">
        <v>1007</v>
      </c>
      <c r="B9" s="2" t="s">
        <v>20</v>
      </c>
      <c r="C9" s="2" t="s">
        <v>8</v>
      </c>
      <c r="D9" s="2" t="s">
        <v>17</v>
      </c>
      <c r="E9" s="2">
        <v>1</v>
      </c>
      <c r="F9" s="2" t="s">
        <v>18</v>
      </c>
      <c r="G9" s="2" t="s">
        <v>19</v>
      </c>
    </row>
    <row r="10" spans="1:7" ht="15" thickBot="1" x14ac:dyDescent="0.35">
      <c r="A10" s="2">
        <v>1008</v>
      </c>
      <c r="B10" s="2" t="s">
        <v>21</v>
      </c>
      <c r="C10" s="2" t="s">
        <v>8</v>
      </c>
      <c r="D10" s="2" t="s">
        <v>17</v>
      </c>
      <c r="E10" s="2">
        <v>1</v>
      </c>
      <c r="F10" s="2" t="s">
        <v>18</v>
      </c>
      <c r="G10" s="2" t="s">
        <v>19</v>
      </c>
    </row>
    <row r="11" spans="1:7" ht="15" thickBot="1" x14ac:dyDescent="0.35">
      <c r="A11" s="2">
        <v>1009</v>
      </c>
      <c r="B11" s="2" t="s">
        <v>22</v>
      </c>
      <c r="C11" s="2" t="s">
        <v>8</v>
      </c>
      <c r="D11" s="2" t="s">
        <v>17</v>
      </c>
      <c r="E11" s="2">
        <v>2</v>
      </c>
      <c r="F11" s="2" t="s">
        <v>18</v>
      </c>
      <c r="G11" s="2" t="s">
        <v>19</v>
      </c>
    </row>
    <row r="12" spans="1:7" ht="15" thickBot="1" x14ac:dyDescent="0.35">
      <c r="A12" s="2">
        <v>1010</v>
      </c>
      <c r="B12" s="2" t="s">
        <v>23</v>
      </c>
      <c r="C12" s="2" t="s">
        <v>8</v>
      </c>
      <c r="D12" s="2" t="s">
        <v>17</v>
      </c>
      <c r="E12" s="2">
        <v>2</v>
      </c>
      <c r="F12" s="2" t="s">
        <v>18</v>
      </c>
      <c r="G12" s="2" t="s">
        <v>19</v>
      </c>
    </row>
    <row r="13" spans="1:7" ht="15" thickBot="1" x14ac:dyDescent="0.35">
      <c r="A13">
        <v>1011</v>
      </c>
      <c r="B13" t="s">
        <v>51</v>
      </c>
      <c r="C13" s="2" t="s">
        <v>52</v>
      </c>
      <c r="D13" s="2" t="s">
        <v>17</v>
      </c>
      <c r="E13" s="2">
        <v>2</v>
      </c>
      <c r="F13" s="2" t="s">
        <v>18</v>
      </c>
      <c r="G13" s="2" t="s">
        <v>19</v>
      </c>
    </row>
    <row r="14" spans="1:7" ht="15" thickBot="1" x14ac:dyDescent="0.35">
      <c r="C14" s="2"/>
      <c r="D14" s="2"/>
      <c r="E14" s="2"/>
      <c r="F14" s="2"/>
      <c r="G14" s="2"/>
    </row>
    <row r="15" spans="1:7" ht="15" thickBot="1" x14ac:dyDescent="0.35">
      <c r="B15" s="2"/>
      <c r="C15" s="2"/>
      <c r="D15" s="2"/>
      <c r="E15" s="2"/>
      <c r="F15" s="2"/>
      <c r="G15" s="2"/>
    </row>
    <row r="16" spans="1:7" ht="15" thickBot="1" x14ac:dyDescent="0.35">
      <c r="B16" s="2"/>
      <c r="C16" s="2"/>
      <c r="D16" s="2"/>
      <c r="E16" s="2"/>
      <c r="F16" s="2"/>
      <c r="G16" s="2"/>
    </row>
  </sheetData>
  <mergeCells count="1">
    <mergeCell ref="A1:G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G37"/>
  <sheetViews>
    <sheetView rightToLeft="1" zoomScaleNormal="100" workbookViewId="0">
      <selection activeCell="J21" sqref="J21"/>
    </sheetView>
  </sheetViews>
  <sheetFormatPr defaultRowHeight="14.4" x14ac:dyDescent="0.3"/>
  <cols>
    <col min="1" max="1" width="6.33203125" customWidth="1"/>
    <col min="2" max="2" width="14.21875" bestFit="1" customWidth="1"/>
    <col min="3" max="3" width="22.77734375" customWidth="1"/>
    <col min="7" max="7" width="12.5546875" customWidth="1"/>
    <col min="9" max="9" width="12.5546875" customWidth="1"/>
    <col min="11" max="11" width="12.5546875" customWidth="1"/>
    <col min="13" max="13" width="12.5546875" customWidth="1"/>
    <col min="15" max="15" width="12.5546875" customWidth="1"/>
    <col min="16" max="16" width="12.33203125" customWidth="1"/>
    <col min="17" max="17" width="16" customWidth="1"/>
    <col min="18" max="18" width="12.21875" customWidth="1"/>
    <col min="19" max="19" width="15.88671875" customWidth="1"/>
    <col min="20" max="20" width="14" customWidth="1"/>
    <col min="21" max="21" width="17.6640625" customWidth="1"/>
    <col min="22" max="22" width="16.44140625" customWidth="1"/>
    <col min="23" max="23" width="20.109375" customWidth="1"/>
    <col min="24" max="24" width="15.88671875" customWidth="1"/>
    <col min="25" max="25" width="13.33203125" customWidth="1"/>
    <col min="26" max="26" width="13.21875" customWidth="1"/>
    <col min="27" max="27" width="11.6640625" customWidth="1"/>
    <col min="28" max="28" width="16.6640625" customWidth="1"/>
  </cols>
  <sheetData>
    <row r="2" spans="1:33" ht="26.4" thickBot="1" x14ac:dyDescent="0.55000000000000004">
      <c r="A2" s="8" t="s">
        <v>50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33" ht="15" thickBot="1" x14ac:dyDescent="0.35">
      <c r="A3" s="3" t="s">
        <v>39</v>
      </c>
      <c r="B3" s="3" t="s">
        <v>40</v>
      </c>
      <c r="C3" s="3" t="s">
        <v>3</v>
      </c>
      <c r="D3" s="3" t="s">
        <v>4</v>
      </c>
      <c r="E3" s="3" t="s">
        <v>5</v>
      </c>
      <c r="F3" s="3" t="s">
        <v>25</v>
      </c>
      <c r="G3" s="3" t="s">
        <v>41</v>
      </c>
      <c r="H3" s="3" t="s">
        <v>26</v>
      </c>
      <c r="I3" s="3" t="s">
        <v>42</v>
      </c>
      <c r="J3" s="3" t="s">
        <v>27</v>
      </c>
      <c r="K3" s="3" t="s">
        <v>43</v>
      </c>
      <c r="L3" s="3" t="s">
        <v>28</v>
      </c>
      <c r="M3" s="3" t="s">
        <v>44</v>
      </c>
      <c r="N3" s="3" t="s">
        <v>29</v>
      </c>
      <c r="O3" s="3" t="s">
        <v>45</v>
      </c>
      <c r="P3" s="3" t="s">
        <v>30</v>
      </c>
      <c r="Q3" s="3" t="s">
        <v>46</v>
      </c>
      <c r="R3" s="3" t="s">
        <v>31</v>
      </c>
      <c r="S3" s="3" t="s">
        <v>47</v>
      </c>
      <c r="T3" s="3" t="s">
        <v>32</v>
      </c>
      <c r="U3" s="3" t="s">
        <v>48</v>
      </c>
      <c r="V3" s="3" t="s">
        <v>33</v>
      </c>
      <c r="W3" s="3" t="s">
        <v>49</v>
      </c>
      <c r="X3" s="3" t="s">
        <v>34</v>
      </c>
      <c r="Y3" s="3" t="s">
        <v>35</v>
      </c>
      <c r="Z3" s="3" t="s">
        <v>36</v>
      </c>
      <c r="AA3" s="3" t="s">
        <v>37</v>
      </c>
      <c r="AB3" s="3" t="s">
        <v>38</v>
      </c>
      <c r="AC3" s="1"/>
      <c r="AD3" s="1"/>
      <c r="AE3" s="1"/>
      <c r="AF3" s="1"/>
      <c r="AG3" s="1"/>
    </row>
    <row r="4" spans="1:33" ht="15" thickBot="1" x14ac:dyDescent="0.35">
      <c r="A4">
        <f>'معلومات الطلاب'!A4</f>
        <v>1002</v>
      </c>
      <c r="B4" t="str">
        <f>'معلومات الطلاب'!B4</f>
        <v>نورة خالد العتيبي</v>
      </c>
      <c r="C4" t="str">
        <f>'معلومات الطلاب'!D4</f>
        <v>الخامس</v>
      </c>
      <c r="D4">
        <f>'معلومات الطلاب'!E4</f>
        <v>1</v>
      </c>
      <c r="E4" t="str">
        <f>'معلومات الطلاب'!F4</f>
        <v>رياضيات</v>
      </c>
      <c r="F4" s="2">
        <v>4</v>
      </c>
      <c r="G4" s="2">
        <v>5</v>
      </c>
      <c r="H4" s="2">
        <v>3</v>
      </c>
      <c r="I4" s="2">
        <v>5</v>
      </c>
      <c r="J4" s="2">
        <v>5</v>
      </c>
      <c r="K4" s="2">
        <v>5</v>
      </c>
      <c r="L4" s="2">
        <v>4</v>
      </c>
      <c r="M4" s="2">
        <v>5</v>
      </c>
      <c r="N4" s="2">
        <v>0</v>
      </c>
      <c r="O4">
        <v>0</v>
      </c>
      <c r="P4" s="2">
        <v>19</v>
      </c>
      <c r="Q4" s="5">
        <v>20</v>
      </c>
      <c r="R4" s="5">
        <v>18</v>
      </c>
      <c r="S4" s="6">
        <v>20</v>
      </c>
      <c r="T4" s="6">
        <v>0</v>
      </c>
      <c r="U4" s="6">
        <v>0</v>
      </c>
      <c r="V4" s="6">
        <v>35</v>
      </c>
      <c r="W4" s="7">
        <v>40</v>
      </c>
      <c r="X4">
        <f>F4+H4+J4+L4+N4+P4+R4+T4+V4</f>
        <v>88</v>
      </c>
      <c r="Y4">
        <f>G4+I4+K4+M4+O4+Q4+S4+U4+W4</f>
        <v>100</v>
      </c>
      <c r="Z4">
        <f>X4/Y4</f>
        <v>0.88</v>
      </c>
      <c r="AA4" t="str">
        <f>IF(Z4&gt;=0.9,"ممتاز",IF(Z4&gt;=0.8,"جيد جداً",IF(Z4&gt;=0.7,"جيد",IF(Z4&gt;=0.6,"مقبول","ضعيف"))))</f>
        <v>جيد جداً</v>
      </c>
      <c r="AB4" t="str">
        <f>IF(Z4&lt;0.6,"متعثر",IF(Z4&lt;0.8,"محتاج متابعة","لا يحتاج متابعة"))</f>
        <v>لا يحتاج متابعة</v>
      </c>
    </row>
    <row r="5" spans="1:33" ht="15" thickBot="1" x14ac:dyDescent="0.35">
      <c r="A5">
        <f>'معلومات الطلاب'!A5</f>
        <v>1003</v>
      </c>
      <c r="B5" t="str">
        <f>'معلومات الطلاب'!B5</f>
        <v>ريم عبد الله السبيعي</v>
      </c>
      <c r="C5" t="str">
        <f>'معلومات الطلاب'!D5</f>
        <v>الخامس</v>
      </c>
      <c r="D5">
        <f>'معلومات الطلاب'!E5</f>
        <v>1</v>
      </c>
      <c r="E5" t="str">
        <f>'معلومات الطلاب'!F5</f>
        <v>رياضيات</v>
      </c>
      <c r="F5" s="2">
        <v>3</v>
      </c>
      <c r="G5" s="2">
        <v>5</v>
      </c>
      <c r="H5" s="2">
        <v>3</v>
      </c>
      <c r="I5" s="2">
        <v>5</v>
      </c>
      <c r="J5" s="2">
        <v>5</v>
      </c>
      <c r="K5" s="2">
        <v>5</v>
      </c>
      <c r="L5" s="2">
        <v>5</v>
      </c>
      <c r="M5" s="2">
        <v>5</v>
      </c>
      <c r="N5" s="2">
        <v>0</v>
      </c>
      <c r="O5">
        <v>0</v>
      </c>
      <c r="P5" s="2">
        <v>15</v>
      </c>
      <c r="Q5" s="5">
        <v>20</v>
      </c>
      <c r="R5" s="5">
        <v>13</v>
      </c>
      <c r="S5" s="6">
        <v>20</v>
      </c>
      <c r="T5" s="6">
        <v>0</v>
      </c>
      <c r="U5" s="6">
        <v>0</v>
      </c>
      <c r="V5" s="6">
        <v>33</v>
      </c>
      <c r="W5" s="7">
        <v>40</v>
      </c>
      <c r="X5">
        <f t="shared" ref="X5:X13" si="0">F5+H5+J5+L5+N5+P5+R5+T5+V5</f>
        <v>77</v>
      </c>
      <c r="Y5">
        <f t="shared" ref="Y5:Y13" si="1">G5+I5+K5+M5+O5+Q5+S5+U5+W5</f>
        <v>100</v>
      </c>
      <c r="Z5">
        <f t="shared" ref="Z5:Z13" si="2">X5/Y5</f>
        <v>0.77</v>
      </c>
      <c r="AA5" t="str">
        <f t="shared" ref="AA5:AA13" si="3">IF(Z5&gt;=0.9,"ممتاز",IF(Z5&gt;=0.8,"جيد جداً",IF(Z5&gt;=0.7,"جيد",IF(Z5&gt;=0.6,"مقبول","ضعيف"))))</f>
        <v>جيد</v>
      </c>
      <c r="AB5" t="str">
        <f t="shared" ref="AB5:AB13" si="4">IF(Z5&lt;0.6,"متعثر",IF(Z5&lt;0.8,"محتاج متابعة","لا يحتاج متابعة"))</f>
        <v>محتاج متابعة</v>
      </c>
    </row>
    <row r="6" spans="1:33" ht="15" thickBot="1" x14ac:dyDescent="0.35">
      <c r="A6">
        <f>'معلومات الطلاب'!A6</f>
        <v>1004</v>
      </c>
      <c r="B6" t="str">
        <f>'معلومات الطلاب'!B6</f>
        <v>شهد فهد القحطاني</v>
      </c>
      <c r="C6" t="str">
        <f>'معلومات الطلاب'!D6</f>
        <v>الخامس</v>
      </c>
      <c r="D6">
        <f>'معلومات الطلاب'!E6</f>
        <v>2</v>
      </c>
      <c r="E6" t="str">
        <f>'معلومات الطلاب'!F6</f>
        <v>رياضيات</v>
      </c>
      <c r="F6" s="2">
        <v>1</v>
      </c>
      <c r="G6" s="2">
        <v>5</v>
      </c>
      <c r="H6" s="2">
        <v>3</v>
      </c>
      <c r="I6" s="2">
        <v>5</v>
      </c>
      <c r="J6" s="2">
        <v>2</v>
      </c>
      <c r="K6" s="2">
        <v>5</v>
      </c>
      <c r="L6" s="2">
        <v>2</v>
      </c>
      <c r="M6" s="2">
        <v>5</v>
      </c>
      <c r="N6" s="2">
        <v>0</v>
      </c>
      <c r="O6">
        <v>0</v>
      </c>
      <c r="P6" s="2">
        <v>8</v>
      </c>
      <c r="Q6" s="5">
        <v>20</v>
      </c>
      <c r="R6" s="5">
        <v>15</v>
      </c>
      <c r="S6" s="6">
        <v>20</v>
      </c>
      <c r="T6" s="6">
        <v>0</v>
      </c>
      <c r="U6" s="6">
        <v>0</v>
      </c>
      <c r="V6" s="6">
        <v>15</v>
      </c>
      <c r="W6" s="7">
        <v>40</v>
      </c>
      <c r="X6">
        <f t="shared" si="0"/>
        <v>46</v>
      </c>
      <c r="Y6">
        <f t="shared" si="1"/>
        <v>100</v>
      </c>
      <c r="Z6">
        <f t="shared" si="2"/>
        <v>0.46</v>
      </c>
      <c r="AA6" t="str">
        <f t="shared" si="3"/>
        <v>ضعيف</v>
      </c>
      <c r="AB6" t="str">
        <f t="shared" si="4"/>
        <v>متعثر</v>
      </c>
    </row>
    <row r="7" spans="1:33" ht="15" thickBot="1" x14ac:dyDescent="0.35">
      <c r="A7">
        <f>'معلومات الطلاب'!A7</f>
        <v>1005</v>
      </c>
      <c r="B7" t="str">
        <f>'معلومات الطلاب'!B7</f>
        <v>مريم علي الشهري</v>
      </c>
      <c r="C7" t="str">
        <f>'معلومات الطلاب'!D7</f>
        <v>الخامس</v>
      </c>
      <c r="D7">
        <f>'معلومات الطلاب'!E7</f>
        <v>2</v>
      </c>
      <c r="E7" t="str">
        <f>'معلومات الطلاب'!F7</f>
        <v>رياضيات</v>
      </c>
      <c r="F7" s="2">
        <v>5</v>
      </c>
      <c r="G7" s="2">
        <v>5</v>
      </c>
      <c r="H7" s="2">
        <v>3</v>
      </c>
      <c r="I7" s="2">
        <v>5</v>
      </c>
      <c r="J7" s="2">
        <v>2</v>
      </c>
      <c r="K7" s="2">
        <v>5</v>
      </c>
      <c r="L7" s="2">
        <v>2</v>
      </c>
      <c r="M7" s="2">
        <v>5</v>
      </c>
      <c r="N7" s="2">
        <v>0</v>
      </c>
      <c r="O7">
        <v>0</v>
      </c>
      <c r="P7" s="2">
        <v>4</v>
      </c>
      <c r="Q7" s="5">
        <v>20</v>
      </c>
      <c r="R7" s="7">
        <v>10</v>
      </c>
      <c r="S7" s="6">
        <v>20</v>
      </c>
      <c r="T7" s="6">
        <v>0</v>
      </c>
      <c r="U7" s="6">
        <v>0</v>
      </c>
      <c r="V7" s="7">
        <v>33</v>
      </c>
      <c r="W7" s="7">
        <v>40</v>
      </c>
      <c r="X7">
        <f t="shared" si="0"/>
        <v>59</v>
      </c>
      <c r="Y7">
        <f t="shared" si="1"/>
        <v>100</v>
      </c>
      <c r="Z7">
        <f t="shared" si="2"/>
        <v>0.59</v>
      </c>
      <c r="AA7" t="str">
        <f t="shared" si="3"/>
        <v>ضعيف</v>
      </c>
      <c r="AB7" t="str">
        <f t="shared" si="4"/>
        <v>متعثر</v>
      </c>
    </row>
    <row r="8" spans="1:33" ht="15" thickBot="1" x14ac:dyDescent="0.35">
      <c r="A8">
        <f>'معلومات الطلاب'!A8</f>
        <v>1006</v>
      </c>
      <c r="B8" t="str">
        <f>'معلومات الطلاب'!B8</f>
        <v>أروى محمد الدوسري</v>
      </c>
      <c r="C8" t="str">
        <f>'معلومات الطلاب'!D8</f>
        <v>السادس</v>
      </c>
      <c r="D8">
        <f>'معلومات الطلاب'!E8</f>
        <v>1</v>
      </c>
      <c r="E8" t="str">
        <f>'معلومات الطلاب'!F8</f>
        <v>علوم</v>
      </c>
      <c r="F8" s="2">
        <v>3</v>
      </c>
      <c r="G8" s="2">
        <v>5</v>
      </c>
      <c r="H8" s="2">
        <v>3</v>
      </c>
      <c r="I8" s="2">
        <v>5</v>
      </c>
      <c r="J8" s="2">
        <v>1</v>
      </c>
      <c r="K8" s="2">
        <v>5</v>
      </c>
      <c r="L8" s="2">
        <v>2</v>
      </c>
      <c r="M8" s="2">
        <v>5</v>
      </c>
      <c r="N8" s="2">
        <v>0</v>
      </c>
      <c r="O8">
        <v>0</v>
      </c>
      <c r="P8" s="2">
        <v>13</v>
      </c>
      <c r="Q8" s="5">
        <v>20</v>
      </c>
      <c r="R8" s="7">
        <v>18</v>
      </c>
      <c r="S8" s="6">
        <v>20</v>
      </c>
      <c r="T8" s="6">
        <v>0</v>
      </c>
      <c r="U8" s="6">
        <v>0</v>
      </c>
      <c r="V8" s="7">
        <v>33</v>
      </c>
      <c r="W8" s="7">
        <v>40</v>
      </c>
      <c r="X8">
        <f t="shared" si="0"/>
        <v>73</v>
      </c>
      <c r="Y8">
        <f t="shared" si="1"/>
        <v>100</v>
      </c>
      <c r="Z8">
        <f t="shared" si="2"/>
        <v>0.73</v>
      </c>
      <c r="AA8" t="str">
        <f t="shared" si="3"/>
        <v>جيد</v>
      </c>
      <c r="AB8" t="str">
        <f t="shared" si="4"/>
        <v>محتاج متابعة</v>
      </c>
    </row>
    <row r="9" spans="1:33" ht="15" thickBot="1" x14ac:dyDescent="0.35">
      <c r="A9">
        <f>'معلومات الطلاب'!A9</f>
        <v>1007</v>
      </c>
      <c r="B9" t="str">
        <f>'معلومات الطلاب'!B9</f>
        <v>لجين حمد العبد الله</v>
      </c>
      <c r="C9" t="str">
        <f>'معلومات الطلاب'!D9</f>
        <v>السادس</v>
      </c>
      <c r="D9">
        <f>'معلومات الطلاب'!E9</f>
        <v>1</v>
      </c>
      <c r="E9" t="str">
        <f>'معلومات الطلاب'!F9</f>
        <v>علوم</v>
      </c>
      <c r="F9" s="2">
        <v>1</v>
      </c>
      <c r="G9" s="2">
        <v>5</v>
      </c>
      <c r="H9" s="2">
        <v>3</v>
      </c>
      <c r="I9" s="2">
        <v>5</v>
      </c>
      <c r="J9" s="2">
        <v>3</v>
      </c>
      <c r="K9" s="2">
        <v>5</v>
      </c>
      <c r="L9" s="2">
        <v>2</v>
      </c>
      <c r="M9" s="2">
        <v>5</v>
      </c>
      <c r="N9" s="2">
        <v>0</v>
      </c>
      <c r="O9">
        <v>0</v>
      </c>
      <c r="P9" s="2">
        <v>18</v>
      </c>
      <c r="Q9" s="5">
        <v>20</v>
      </c>
      <c r="R9" s="7">
        <v>5</v>
      </c>
      <c r="S9" s="6">
        <v>20</v>
      </c>
      <c r="T9" s="6">
        <v>0</v>
      </c>
      <c r="U9" s="6">
        <v>0</v>
      </c>
      <c r="V9" s="7">
        <v>33</v>
      </c>
      <c r="W9" s="7">
        <v>40</v>
      </c>
      <c r="X9">
        <f t="shared" si="0"/>
        <v>65</v>
      </c>
      <c r="Y9">
        <f t="shared" si="1"/>
        <v>100</v>
      </c>
      <c r="Z9">
        <f t="shared" si="2"/>
        <v>0.65</v>
      </c>
      <c r="AA9" t="str">
        <f t="shared" si="3"/>
        <v>مقبول</v>
      </c>
      <c r="AB9" t="str">
        <f t="shared" si="4"/>
        <v>محتاج متابعة</v>
      </c>
    </row>
    <row r="10" spans="1:33" ht="15" thickBot="1" x14ac:dyDescent="0.35">
      <c r="A10">
        <f>'معلومات الطلاب'!A10</f>
        <v>1008</v>
      </c>
      <c r="B10" t="str">
        <f>'معلومات الطلاب'!B10</f>
        <v>جود سلطان العتيبي</v>
      </c>
      <c r="C10" t="str">
        <f>'معلومات الطلاب'!D10</f>
        <v>السادس</v>
      </c>
      <c r="D10">
        <f>'معلومات الطلاب'!E10</f>
        <v>1</v>
      </c>
      <c r="E10" t="str">
        <f>'معلومات الطلاب'!F10</f>
        <v>علوم</v>
      </c>
      <c r="F10" s="2">
        <v>1</v>
      </c>
      <c r="G10" s="2">
        <v>5</v>
      </c>
      <c r="H10" s="2">
        <v>3</v>
      </c>
      <c r="I10" s="2">
        <v>5</v>
      </c>
      <c r="J10" s="2">
        <v>3</v>
      </c>
      <c r="K10" s="2">
        <v>5</v>
      </c>
      <c r="L10" s="2">
        <v>2</v>
      </c>
      <c r="M10" s="2">
        <v>5</v>
      </c>
      <c r="N10" s="2">
        <v>0</v>
      </c>
      <c r="O10">
        <v>0</v>
      </c>
      <c r="P10" s="2">
        <v>16</v>
      </c>
      <c r="Q10" s="5">
        <v>20</v>
      </c>
      <c r="R10" s="7">
        <v>11</v>
      </c>
      <c r="S10" s="6">
        <v>20</v>
      </c>
      <c r="T10" s="6">
        <v>0</v>
      </c>
      <c r="U10" s="6">
        <v>0</v>
      </c>
      <c r="V10" s="7">
        <v>33</v>
      </c>
      <c r="W10" s="7">
        <v>40</v>
      </c>
      <c r="X10">
        <f t="shared" si="0"/>
        <v>69</v>
      </c>
      <c r="Y10">
        <f t="shared" si="1"/>
        <v>100</v>
      </c>
      <c r="Z10">
        <f t="shared" si="2"/>
        <v>0.69</v>
      </c>
      <c r="AA10" t="str">
        <f t="shared" si="3"/>
        <v>مقبول</v>
      </c>
      <c r="AB10" t="str">
        <f t="shared" si="4"/>
        <v>محتاج متابعة</v>
      </c>
    </row>
    <row r="11" spans="1:33" ht="15" thickBot="1" x14ac:dyDescent="0.35">
      <c r="A11">
        <f>'معلومات الطلاب'!A11</f>
        <v>1009</v>
      </c>
      <c r="B11" t="str">
        <f>'معلومات الطلاب'!B11</f>
        <v>حلا يوسف المطر</v>
      </c>
      <c r="C11" t="str">
        <f>'معلومات الطلاب'!D11</f>
        <v>السادس</v>
      </c>
      <c r="D11">
        <f>'معلومات الطلاب'!E11</f>
        <v>2</v>
      </c>
      <c r="E11" t="str">
        <f>'معلومات الطلاب'!F11</f>
        <v>علوم</v>
      </c>
      <c r="F11" s="2">
        <v>4</v>
      </c>
      <c r="G11" s="2">
        <v>5</v>
      </c>
      <c r="H11" s="2">
        <v>3</v>
      </c>
      <c r="I11" s="2">
        <v>5</v>
      </c>
      <c r="J11" s="2">
        <v>3</v>
      </c>
      <c r="K11" s="2">
        <v>5</v>
      </c>
      <c r="L11" s="2">
        <v>2</v>
      </c>
      <c r="M11" s="2">
        <v>5</v>
      </c>
      <c r="N11" s="2">
        <v>0</v>
      </c>
      <c r="O11">
        <v>0</v>
      </c>
      <c r="P11" s="2">
        <v>3</v>
      </c>
      <c r="Q11" s="5">
        <v>20</v>
      </c>
      <c r="R11" s="7">
        <v>20</v>
      </c>
      <c r="S11" s="6">
        <v>20</v>
      </c>
      <c r="T11" s="6">
        <v>0</v>
      </c>
      <c r="U11" s="6">
        <v>0</v>
      </c>
      <c r="V11" s="7">
        <v>33</v>
      </c>
      <c r="W11" s="7">
        <v>40</v>
      </c>
      <c r="X11">
        <f t="shared" si="0"/>
        <v>68</v>
      </c>
      <c r="Y11">
        <f t="shared" si="1"/>
        <v>100</v>
      </c>
      <c r="Z11">
        <f t="shared" si="2"/>
        <v>0.68</v>
      </c>
      <c r="AA11" t="str">
        <f t="shared" si="3"/>
        <v>مقبول</v>
      </c>
      <c r="AB11" t="str">
        <f t="shared" si="4"/>
        <v>محتاج متابعة</v>
      </c>
    </row>
    <row r="12" spans="1:33" ht="15" thickBot="1" x14ac:dyDescent="0.35">
      <c r="A12">
        <f>'معلومات الطلاب'!A12</f>
        <v>1010</v>
      </c>
      <c r="B12" t="str">
        <f>'معلومات الطلاب'!B12</f>
        <v>غادة إبراهيم الزهراني</v>
      </c>
      <c r="C12" t="str">
        <f>'معلومات الطلاب'!D12</f>
        <v>السادس</v>
      </c>
      <c r="D12">
        <f>'معلومات الطلاب'!E12</f>
        <v>2</v>
      </c>
      <c r="E12" t="str">
        <f>'معلومات الطلاب'!F12</f>
        <v>علوم</v>
      </c>
      <c r="F12" s="2">
        <v>2</v>
      </c>
      <c r="G12" s="2">
        <v>5</v>
      </c>
      <c r="H12" s="2">
        <v>3</v>
      </c>
      <c r="I12" s="2">
        <v>5</v>
      </c>
      <c r="J12" s="2">
        <v>3</v>
      </c>
      <c r="K12" s="2">
        <v>5</v>
      </c>
      <c r="L12" s="2">
        <v>2</v>
      </c>
      <c r="M12" s="2">
        <v>5</v>
      </c>
      <c r="N12" s="2">
        <v>0</v>
      </c>
      <c r="O12">
        <v>0</v>
      </c>
      <c r="P12" s="2">
        <v>6</v>
      </c>
      <c r="Q12" s="5">
        <v>20</v>
      </c>
      <c r="R12" s="7">
        <v>13</v>
      </c>
      <c r="S12" s="6">
        <v>20</v>
      </c>
      <c r="T12" s="6">
        <v>0</v>
      </c>
      <c r="U12" s="6">
        <v>0</v>
      </c>
      <c r="V12" s="7">
        <v>33</v>
      </c>
      <c r="W12" s="7">
        <v>40</v>
      </c>
      <c r="X12">
        <f t="shared" si="0"/>
        <v>62</v>
      </c>
      <c r="Y12">
        <f t="shared" si="1"/>
        <v>100</v>
      </c>
      <c r="Z12">
        <f t="shared" si="2"/>
        <v>0.62</v>
      </c>
      <c r="AA12" t="str">
        <f t="shared" si="3"/>
        <v>مقبول</v>
      </c>
      <c r="AB12" t="str">
        <f t="shared" si="4"/>
        <v>محتاج متابعة</v>
      </c>
    </row>
    <row r="13" spans="1:33" ht="15" thickBot="1" x14ac:dyDescent="0.35">
      <c r="A13">
        <f>'معلومات الطلاب'!A13</f>
        <v>1011</v>
      </c>
      <c r="B13" t="str">
        <f>'معلومات الطلاب'!B13</f>
        <v>نوهان ثروت علي</v>
      </c>
      <c r="C13" t="str">
        <f>'معلومات الطلاب'!D13</f>
        <v>السادس</v>
      </c>
      <c r="D13">
        <f>'معلومات الطلاب'!E13</f>
        <v>2</v>
      </c>
      <c r="E13" t="str">
        <f>'معلومات الطلاب'!F13</f>
        <v>علوم</v>
      </c>
      <c r="F13" s="2">
        <v>5</v>
      </c>
      <c r="G13" s="2">
        <v>5</v>
      </c>
      <c r="H13" s="2">
        <v>3</v>
      </c>
      <c r="I13" s="2">
        <v>5</v>
      </c>
      <c r="J13" s="2">
        <v>3</v>
      </c>
      <c r="K13" s="2">
        <v>5</v>
      </c>
      <c r="L13" s="2">
        <v>2</v>
      </c>
      <c r="M13" s="2">
        <v>5</v>
      </c>
      <c r="N13" s="2">
        <v>0</v>
      </c>
      <c r="O13">
        <v>0</v>
      </c>
      <c r="P13" s="2">
        <v>11</v>
      </c>
      <c r="Q13" s="5">
        <v>20</v>
      </c>
      <c r="R13" s="7">
        <v>15</v>
      </c>
      <c r="S13" s="6">
        <v>20</v>
      </c>
      <c r="T13" s="6">
        <v>0</v>
      </c>
      <c r="U13" s="6">
        <v>0</v>
      </c>
      <c r="V13" s="7">
        <v>33</v>
      </c>
      <c r="W13" s="7">
        <v>40</v>
      </c>
      <c r="X13">
        <f t="shared" si="0"/>
        <v>72</v>
      </c>
      <c r="Y13">
        <f t="shared" si="1"/>
        <v>100</v>
      </c>
      <c r="Z13">
        <f t="shared" si="2"/>
        <v>0.72</v>
      </c>
      <c r="AA13" t="str">
        <f t="shared" si="3"/>
        <v>جيد</v>
      </c>
      <c r="AB13" t="str">
        <f t="shared" si="4"/>
        <v>محتاج متابعة</v>
      </c>
    </row>
    <row r="14" spans="1:33" x14ac:dyDescent="0.3">
      <c r="A14">
        <f>'معلومات الطلاب'!A14</f>
        <v>0</v>
      </c>
      <c r="B14">
        <f>'معلومات الطلاب'!B14</f>
        <v>0</v>
      </c>
      <c r="C14">
        <f>'معلومات الطلاب'!D14</f>
        <v>0</v>
      </c>
      <c r="D14">
        <f>'معلومات الطلاب'!E14</f>
        <v>0</v>
      </c>
      <c r="E14">
        <f>'معلومات الطلاب'!F14</f>
        <v>0</v>
      </c>
    </row>
    <row r="15" spans="1:33" x14ac:dyDescent="0.3">
      <c r="A15">
        <f>'معلومات الطلاب'!A15</f>
        <v>0</v>
      </c>
      <c r="B15">
        <f>'معلومات الطلاب'!B15</f>
        <v>0</v>
      </c>
      <c r="C15">
        <f>'معلومات الطلاب'!D15</f>
        <v>0</v>
      </c>
      <c r="D15">
        <f>'معلومات الطلاب'!E15</f>
        <v>0</v>
      </c>
      <c r="E15">
        <f>'معلومات الطلاب'!F15</f>
        <v>0</v>
      </c>
    </row>
    <row r="16" spans="1:33" x14ac:dyDescent="0.3">
      <c r="A16">
        <f>'معلومات الطلاب'!A16</f>
        <v>0</v>
      </c>
      <c r="B16">
        <f>'معلومات الطلاب'!B16</f>
        <v>0</v>
      </c>
      <c r="C16">
        <f>'معلومات الطلاب'!D16</f>
        <v>0</v>
      </c>
      <c r="D16">
        <f>'معلومات الطلاب'!E16</f>
        <v>0</v>
      </c>
      <c r="E16">
        <f>'معلومات الطلاب'!F16</f>
        <v>0</v>
      </c>
    </row>
    <row r="17" spans="1:23" x14ac:dyDescent="0.3">
      <c r="A17">
        <f>'معلومات الطلاب'!A17</f>
        <v>0</v>
      </c>
      <c r="B17">
        <f>'معلومات الطلاب'!B17</f>
        <v>0</v>
      </c>
      <c r="C17">
        <f>'معلومات الطلاب'!D17</f>
        <v>0</v>
      </c>
      <c r="D17">
        <f>'معلومات الطلاب'!E17</f>
        <v>0</v>
      </c>
      <c r="E17">
        <f>'معلومات الطلاب'!F17</f>
        <v>0</v>
      </c>
    </row>
    <row r="18" spans="1:23" x14ac:dyDescent="0.3">
      <c r="A18">
        <f>'معلومات الطلاب'!A18</f>
        <v>0</v>
      </c>
      <c r="B18">
        <f>'معلومات الطلاب'!B18</f>
        <v>0</v>
      </c>
      <c r="C18">
        <f>'معلومات الطلاب'!D18</f>
        <v>0</v>
      </c>
      <c r="D18">
        <f>'معلومات الطلاب'!E18</f>
        <v>0</v>
      </c>
      <c r="E18">
        <f>'معلومات الطلاب'!F18</f>
        <v>0</v>
      </c>
    </row>
    <row r="19" spans="1:23" x14ac:dyDescent="0.3">
      <c r="A19">
        <f>'معلومات الطلاب'!A19</f>
        <v>0</v>
      </c>
      <c r="B19">
        <f>'معلومات الطلاب'!B19</f>
        <v>0</v>
      </c>
      <c r="C19">
        <f>'معلومات الطلاب'!D19</f>
        <v>0</v>
      </c>
      <c r="D19">
        <f>'معلومات الطلاب'!E19</f>
        <v>0</v>
      </c>
      <c r="E19">
        <f>'معلومات الطلاب'!F19</f>
        <v>0</v>
      </c>
    </row>
    <row r="20" spans="1:23" x14ac:dyDescent="0.3">
      <c r="A20">
        <f>'معلومات الطلاب'!A20</f>
        <v>0</v>
      </c>
      <c r="B20">
        <f>'معلومات الطلاب'!B20</f>
        <v>0</v>
      </c>
      <c r="C20">
        <f>'معلومات الطلاب'!D20</f>
        <v>0</v>
      </c>
      <c r="D20">
        <f>'معلومات الطلاب'!E20</f>
        <v>0</v>
      </c>
      <c r="E20">
        <f>'معلومات الطلاب'!F20</f>
        <v>0</v>
      </c>
    </row>
    <row r="21" spans="1:23" x14ac:dyDescent="0.3">
      <c r="A21">
        <f>'معلومات الطلاب'!A21</f>
        <v>0</v>
      </c>
      <c r="B21">
        <f>'معلومات الطلاب'!B21</f>
        <v>0</v>
      </c>
      <c r="C21">
        <f>'معلومات الطلاب'!D21</f>
        <v>0</v>
      </c>
      <c r="D21">
        <f>'معلومات الطلاب'!E21</f>
        <v>0</v>
      </c>
      <c r="E21">
        <f>'معلومات الطلاب'!F21</f>
        <v>0</v>
      </c>
    </row>
    <row r="22" spans="1:23" x14ac:dyDescent="0.3">
      <c r="A22">
        <f>'معلومات الطلاب'!A22</f>
        <v>0</v>
      </c>
      <c r="B22">
        <f>'معلومات الطلاب'!B22</f>
        <v>0</v>
      </c>
      <c r="C22">
        <f>'معلومات الطلاب'!D22</f>
        <v>0</v>
      </c>
      <c r="D22">
        <f>'معلومات الطلاب'!E22</f>
        <v>0</v>
      </c>
      <c r="E22">
        <f>'معلومات الطلاب'!F22</f>
        <v>0</v>
      </c>
    </row>
    <row r="23" spans="1:23" x14ac:dyDescent="0.3">
      <c r="A23">
        <f>'معلومات الطلاب'!A23</f>
        <v>0</v>
      </c>
      <c r="B23">
        <f>'معلومات الطلاب'!B23</f>
        <v>0</v>
      </c>
      <c r="C23">
        <f>'معلومات الطلاب'!D23</f>
        <v>0</v>
      </c>
      <c r="D23">
        <f>'معلومات الطلاب'!E23</f>
        <v>0</v>
      </c>
      <c r="E23">
        <f>'معلومات الطلاب'!F23</f>
        <v>0</v>
      </c>
    </row>
    <row r="24" spans="1:23" x14ac:dyDescent="0.3">
      <c r="A24">
        <f>'معلومات الطلاب'!A24</f>
        <v>0</v>
      </c>
      <c r="B24">
        <f>'معلومات الطلاب'!B24</f>
        <v>0</v>
      </c>
      <c r="C24">
        <f>'معلومات الطلاب'!D24</f>
        <v>0</v>
      </c>
      <c r="D24">
        <f>'معلومات الطلاب'!E24</f>
        <v>0</v>
      </c>
      <c r="E24">
        <f>'معلومات الطلاب'!F24</f>
        <v>0</v>
      </c>
    </row>
    <row r="25" spans="1:23" x14ac:dyDescent="0.3">
      <c r="A25">
        <f>'معلومات الطلاب'!A25</f>
        <v>0</v>
      </c>
      <c r="B25">
        <f>'معلومات الطلاب'!B25</f>
        <v>0</v>
      </c>
      <c r="C25">
        <f>'معلومات الطلاب'!D25</f>
        <v>0</v>
      </c>
      <c r="D25">
        <f>'معلومات الطلاب'!E25</f>
        <v>0</v>
      </c>
      <c r="E25">
        <f>'معلومات الطلاب'!F25</f>
        <v>0</v>
      </c>
    </row>
    <row r="26" spans="1:23" ht="15" thickBot="1" x14ac:dyDescent="0.35">
      <c r="A26">
        <f>'معلومات الطلاب'!A26</f>
        <v>0</v>
      </c>
      <c r="B26">
        <f>'معلومات الطلاب'!B26</f>
        <v>0</v>
      </c>
      <c r="C26">
        <f>'معلومات الطلاب'!D26</f>
        <v>0</v>
      </c>
      <c r="D26">
        <f>'معلومات الطلاب'!E26</f>
        <v>0</v>
      </c>
      <c r="E26">
        <f>'معلومات الطلاب'!F26</f>
        <v>0</v>
      </c>
    </row>
    <row r="27" spans="1:23" ht="15" thickBot="1" x14ac:dyDescent="0.35">
      <c r="A27">
        <f>'معلومات الطلاب'!A27</f>
        <v>0</v>
      </c>
      <c r="B27">
        <f>'معلومات الطلاب'!B27</f>
        <v>0</v>
      </c>
      <c r="C27">
        <f>'معلومات الطلاب'!D27</f>
        <v>0</v>
      </c>
      <c r="D27">
        <f>'معلومات الطلاب'!E27</f>
        <v>0</v>
      </c>
      <c r="E27">
        <f>'معلومات الطلاب'!F27</f>
        <v>0</v>
      </c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" thickBot="1" x14ac:dyDescent="0.35"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ht="15" thickBot="1" x14ac:dyDescent="0.35"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ht="15" thickBot="1" x14ac:dyDescent="0.35"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ht="15" thickBot="1" x14ac:dyDescent="0.35"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ht="15" thickBot="1" x14ac:dyDescent="0.35"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4:23" ht="15" thickBot="1" x14ac:dyDescent="0.35"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4:23" ht="15" thickBot="1" x14ac:dyDescent="0.35"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4:23" ht="15" thickBot="1" x14ac:dyDescent="0.35"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4:23" ht="15" thickBot="1" x14ac:dyDescent="0.35"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4:23" ht="15" thickBot="1" x14ac:dyDescent="0.35">
      <c r="N37" s="2"/>
      <c r="O37" s="2"/>
      <c r="P37" s="2"/>
      <c r="Q37" s="2"/>
      <c r="R37" s="2"/>
      <c r="S37" s="2"/>
      <c r="T37" s="2"/>
      <c r="U37" s="2"/>
      <c r="V37" s="2"/>
      <c r="W37" s="2"/>
    </row>
  </sheetData>
  <mergeCells count="1">
    <mergeCell ref="A2:AB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G37"/>
  <sheetViews>
    <sheetView rightToLeft="1" tabSelected="1" topLeftCell="P1" zoomScaleNormal="100" workbookViewId="0">
      <selection activeCell="Z10" sqref="Z10"/>
    </sheetView>
  </sheetViews>
  <sheetFormatPr defaultRowHeight="14.4" x14ac:dyDescent="0.3"/>
  <cols>
    <col min="1" max="1" width="6.33203125" customWidth="1"/>
    <col min="2" max="2" width="14.21875" bestFit="1" customWidth="1"/>
    <col min="3" max="3" width="22.77734375" customWidth="1"/>
    <col min="7" max="7" width="12.5546875" customWidth="1"/>
    <col min="9" max="9" width="12.5546875" customWidth="1"/>
    <col min="11" max="11" width="12.5546875" customWidth="1"/>
    <col min="13" max="13" width="12.5546875" customWidth="1"/>
    <col min="15" max="15" width="12.5546875" customWidth="1"/>
    <col min="16" max="16" width="12.33203125" customWidth="1"/>
    <col min="17" max="17" width="16" customWidth="1"/>
    <col min="18" max="18" width="12.21875" customWidth="1"/>
    <col min="19" max="19" width="15.88671875" customWidth="1"/>
    <col min="20" max="20" width="14" customWidth="1"/>
    <col min="21" max="21" width="17.6640625" customWidth="1"/>
    <col min="22" max="22" width="16.44140625" customWidth="1"/>
    <col min="23" max="23" width="20.109375" customWidth="1"/>
    <col min="24" max="24" width="15.88671875" customWidth="1"/>
    <col min="25" max="25" width="13.33203125" customWidth="1"/>
    <col min="26" max="26" width="13.21875" customWidth="1"/>
    <col min="27" max="27" width="11.6640625" customWidth="1"/>
    <col min="28" max="28" width="16.6640625" customWidth="1"/>
  </cols>
  <sheetData>
    <row r="2" spans="1:33" ht="26.4" thickBot="1" x14ac:dyDescent="0.55000000000000004">
      <c r="A2" s="8" t="s">
        <v>53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33" ht="15" thickBot="1" x14ac:dyDescent="0.35">
      <c r="A3" s="3" t="s">
        <v>39</v>
      </c>
      <c r="B3" s="3" t="s">
        <v>40</v>
      </c>
      <c r="C3" s="3" t="s">
        <v>3</v>
      </c>
      <c r="D3" s="3" t="s">
        <v>4</v>
      </c>
      <c r="E3" s="3" t="s">
        <v>5</v>
      </c>
      <c r="F3" s="3" t="s">
        <v>25</v>
      </c>
      <c r="G3" s="3" t="s">
        <v>41</v>
      </c>
      <c r="H3" s="3" t="s">
        <v>26</v>
      </c>
      <c r="I3" s="3" t="s">
        <v>42</v>
      </c>
      <c r="J3" s="3" t="s">
        <v>27</v>
      </c>
      <c r="K3" s="3" t="s">
        <v>43</v>
      </c>
      <c r="L3" s="3" t="s">
        <v>28</v>
      </c>
      <c r="M3" s="3" t="s">
        <v>44</v>
      </c>
      <c r="N3" s="3" t="s">
        <v>29</v>
      </c>
      <c r="O3" s="3" t="s">
        <v>45</v>
      </c>
      <c r="P3" s="3" t="s">
        <v>30</v>
      </c>
      <c r="Q3" s="3" t="s">
        <v>46</v>
      </c>
      <c r="R3" s="3" t="s">
        <v>31</v>
      </c>
      <c r="S3" s="3" t="s">
        <v>47</v>
      </c>
      <c r="T3" s="3" t="s">
        <v>32</v>
      </c>
      <c r="U3" s="3" t="s">
        <v>48</v>
      </c>
      <c r="V3" s="3" t="s">
        <v>33</v>
      </c>
      <c r="W3" s="3" t="s">
        <v>49</v>
      </c>
      <c r="X3" s="3" t="s">
        <v>34</v>
      </c>
      <c r="Y3" s="3" t="s">
        <v>35</v>
      </c>
      <c r="Z3" s="3" t="s">
        <v>36</v>
      </c>
      <c r="AA3" s="3" t="s">
        <v>37</v>
      </c>
      <c r="AB3" s="3" t="s">
        <v>38</v>
      </c>
      <c r="AC3" s="1"/>
      <c r="AD3" s="1"/>
      <c r="AE3" s="1"/>
      <c r="AF3" s="1"/>
      <c r="AG3" s="1"/>
    </row>
    <row r="4" spans="1:33" ht="15" thickBot="1" x14ac:dyDescent="0.35">
      <c r="A4">
        <f>'معلومات الطلاب'!A4</f>
        <v>1002</v>
      </c>
      <c r="B4" t="str">
        <f>'معلومات الطلاب'!B4</f>
        <v>نورة خالد العتيبي</v>
      </c>
      <c r="C4" t="str">
        <f>'معلومات الطلاب'!D4</f>
        <v>الخامس</v>
      </c>
      <c r="D4">
        <f>'معلومات الطلاب'!E4</f>
        <v>1</v>
      </c>
      <c r="E4" t="str">
        <f>'معلومات الطلاب'!F4</f>
        <v>رياضيات</v>
      </c>
      <c r="F4" s="2">
        <v>1</v>
      </c>
      <c r="G4" s="2">
        <v>5</v>
      </c>
      <c r="H4" s="2">
        <v>2</v>
      </c>
      <c r="I4" s="2">
        <v>5</v>
      </c>
      <c r="J4" s="2">
        <v>2</v>
      </c>
      <c r="K4" s="2">
        <v>5</v>
      </c>
      <c r="L4" s="2">
        <v>5</v>
      </c>
      <c r="M4" s="2">
        <v>5</v>
      </c>
      <c r="N4" s="2">
        <v>0</v>
      </c>
      <c r="O4">
        <v>0</v>
      </c>
      <c r="P4" s="2">
        <v>19</v>
      </c>
      <c r="Q4" s="5">
        <v>20</v>
      </c>
      <c r="R4" s="5">
        <v>18</v>
      </c>
      <c r="S4" s="6">
        <v>20</v>
      </c>
      <c r="T4" s="6">
        <v>0</v>
      </c>
      <c r="U4" s="6">
        <v>0</v>
      </c>
      <c r="V4" s="6">
        <v>40</v>
      </c>
      <c r="W4" s="7">
        <v>40</v>
      </c>
      <c r="X4">
        <f>F4+H4+J4+L4+N4+P4+R4+T4+V4</f>
        <v>87</v>
      </c>
      <c r="Y4">
        <f>G4+I4+K4+M4+O4+Q4+S4+U4+W4</f>
        <v>100</v>
      </c>
      <c r="Z4">
        <f>X4/Y4</f>
        <v>0.87</v>
      </c>
      <c r="AA4" t="str">
        <f>IF(Z4&gt;=0.9,"ممتاز",IF(Z4&gt;=0.8,"جيد جداً",IF(Z4&gt;=0.7,"جيد",IF(Z4&gt;=0.6,"مقبول","ضعيف"))))</f>
        <v>جيد جداً</v>
      </c>
      <c r="AB4" t="str">
        <f>IF(Z4&lt;0.6,"متعثر",IF(Z4&lt;0.8,"محتاج متابعة","لا يحتاج متابعة"))</f>
        <v>لا يحتاج متابعة</v>
      </c>
    </row>
    <row r="5" spans="1:33" ht="15" thickBot="1" x14ac:dyDescent="0.35">
      <c r="A5">
        <f>'معلومات الطلاب'!A5</f>
        <v>1003</v>
      </c>
      <c r="B5" t="str">
        <f>'معلومات الطلاب'!B5</f>
        <v>ريم عبد الله السبيعي</v>
      </c>
      <c r="C5" t="str">
        <f>'معلومات الطلاب'!D5</f>
        <v>الخامس</v>
      </c>
      <c r="D5">
        <f>'معلومات الطلاب'!E5</f>
        <v>1</v>
      </c>
      <c r="E5" t="str">
        <f>'معلومات الطلاب'!F5</f>
        <v>رياضيات</v>
      </c>
      <c r="F5" s="2">
        <v>4</v>
      </c>
      <c r="G5" s="2">
        <v>5</v>
      </c>
      <c r="H5" s="2">
        <v>4</v>
      </c>
      <c r="I5" s="2">
        <v>5</v>
      </c>
      <c r="J5" s="2">
        <v>3</v>
      </c>
      <c r="K5" s="2">
        <v>5</v>
      </c>
      <c r="L5" s="2">
        <v>5</v>
      </c>
      <c r="M5" s="2">
        <v>5</v>
      </c>
      <c r="N5" s="2">
        <v>0</v>
      </c>
      <c r="O5">
        <v>0</v>
      </c>
      <c r="P5" s="2">
        <v>15</v>
      </c>
      <c r="Q5" s="5">
        <v>20</v>
      </c>
      <c r="R5" s="5">
        <v>15</v>
      </c>
      <c r="S5" s="6">
        <v>20</v>
      </c>
      <c r="T5" s="6">
        <v>0</v>
      </c>
      <c r="U5" s="6">
        <v>0</v>
      </c>
      <c r="V5" s="6">
        <v>40</v>
      </c>
      <c r="W5" s="7">
        <v>40</v>
      </c>
      <c r="X5">
        <f t="shared" ref="X5:Y13" si="0">F5+H5+J5+L5+N5+P5+R5+T5+V5</f>
        <v>86</v>
      </c>
      <c r="Y5">
        <f t="shared" si="0"/>
        <v>100</v>
      </c>
      <c r="Z5">
        <f t="shared" ref="Z5:Z13" si="1">X5/Y5</f>
        <v>0.86</v>
      </c>
      <c r="AA5" t="str">
        <f t="shared" ref="AA5:AA13" si="2">IF(Z5&gt;=0.9,"ممتاز",IF(Z5&gt;=0.8,"جيد جداً",IF(Z5&gt;=0.7,"جيد",IF(Z5&gt;=0.6,"مقبول","ضعيف"))))</f>
        <v>جيد جداً</v>
      </c>
      <c r="AB5" t="str">
        <f t="shared" ref="AB5:AB13" si="3">IF(Z5&lt;0.6,"متعثر",IF(Z5&lt;0.8,"محتاج متابعة","لا يحتاج متابعة"))</f>
        <v>لا يحتاج متابعة</v>
      </c>
    </row>
    <row r="6" spans="1:33" ht="15" thickBot="1" x14ac:dyDescent="0.35">
      <c r="A6">
        <f>'معلومات الطلاب'!A6</f>
        <v>1004</v>
      </c>
      <c r="B6" t="str">
        <f>'معلومات الطلاب'!B6</f>
        <v>شهد فهد القحطاني</v>
      </c>
      <c r="C6" t="str">
        <f>'معلومات الطلاب'!D6</f>
        <v>الخامس</v>
      </c>
      <c r="D6">
        <f>'معلومات الطلاب'!E6</f>
        <v>2</v>
      </c>
      <c r="E6" t="str">
        <f>'معلومات الطلاب'!F6</f>
        <v>رياضيات</v>
      </c>
      <c r="F6" s="2">
        <v>5</v>
      </c>
      <c r="G6" s="2">
        <v>5</v>
      </c>
      <c r="H6" s="2">
        <v>5</v>
      </c>
      <c r="I6" s="2">
        <v>5</v>
      </c>
      <c r="J6" s="2">
        <v>3</v>
      </c>
      <c r="K6" s="2">
        <v>5</v>
      </c>
      <c r="L6" s="2">
        <v>4</v>
      </c>
      <c r="M6" s="2">
        <v>5</v>
      </c>
      <c r="N6" s="2">
        <v>0</v>
      </c>
      <c r="O6">
        <v>0</v>
      </c>
      <c r="P6" s="2">
        <v>16</v>
      </c>
      <c r="Q6" s="5">
        <v>20</v>
      </c>
      <c r="R6" s="5">
        <v>15</v>
      </c>
      <c r="S6" s="6">
        <v>20</v>
      </c>
      <c r="T6" s="6">
        <v>0</v>
      </c>
      <c r="U6" s="6">
        <v>0</v>
      </c>
      <c r="V6" s="6">
        <v>40</v>
      </c>
      <c r="W6" s="7">
        <v>40</v>
      </c>
      <c r="X6">
        <f t="shared" si="0"/>
        <v>88</v>
      </c>
      <c r="Y6">
        <f t="shared" si="0"/>
        <v>100</v>
      </c>
      <c r="Z6">
        <f t="shared" si="1"/>
        <v>0.88</v>
      </c>
      <c r="AA6" t="str">
        <f t="shared" si="2"/>
        <v>جيد جداً</v>
      </c>
      <c r="AB6" t="str">
        <f t="shared" si="3"/>
        <v>لا يحتاج متابعة</v>
      </c>
    </row>
    <row r="7" spans="1:33" ht="15" thickBot="1" x14ac:dyDescent="0.35">
      <c r="A7">
        <f>'معلومات الطلاب'!A7</f>
        <v>1005</v>
      </c>
      <c r="B7" t="str">
        <f>'معلومات الطلاب'!B7</f>
        <v>مريم علي الشهري</v>
      </c>
      <c r="C7" t="str">
        <f>'معلومات الطلاب'!D7</f>
        <v>الخامس</v>
      </c>
      <c r="D7">
        <f>'معلومات الطلاب'!E7</f>
        <v>2</v>
      </c>
      <c r="E7" t="str">
        <f>'معلومات الطلاب'!F7</f>
        <v>رياضيات</v>
      </c>
      <c r="F7" s="2">
        <v>5</v>
      </c>
      <c r="G7" s="2">
        <v>5</v>
      </c>
      <c r="H7" s="2">
        <v>5</v>
      </c>
      <c r="I7" s="2">
        <v>5</v>
      </c>
      <c r="J7" s="2">
        <v>4</v>
      </c>
      <c r="K7" s="2">
        <v>5</v>
      </c>
      <c r="L7" s="2">
        <v>3</v>
      </c>
      <c r="M7" s="2">
        <v>5</v>
      </c>
      <c r="N7" s="2">
        <v>0</v>
      </c>
      <c r="O7">
        <v>0</v>
      </c>
      <c r="P7" s="2">
        <v>4</v>
      </c>
      <c r="Q7" s="5">
        <v>20</v>
      </c>
      <c r="R7" s="7">
        <v>10</v>
      </c>
      <c r="S7" s="6">
        <v>20</v>
      </c>
      <c r="T7" s="6">
        <v>0</v>
      </c>
      <c r="U7" s="6">
        <v>0</v>
      </c>
      <c r="V7" s="6">
        <v>40</v>
      </c>
      <c r="W7" s="7">
        <v>40</v>
      </c>
      <c r="X7">
        <f t="shared" si="0"/>
        <v>71</v>
      </c>
      <c r="Y7">
        <f t="shared" si="0"/>
        <v>100</v>
      </c>
      <c r="Z7">
        <f t="shared" si="1"/>
        <v>0.71</v>
      </c>
      <c r="AA7" t="str">
        <f t="shared" si="2"/>
        <v>جيد</v>
      </c>
      <c r="AB7" t="str">
        <f t="shared" si="3"/>
        <v>محتاج متابعة</v>
      </c>
    </row>
    <row r="8" spans="1:33" ht="15" thickBot="1" x14ac:dyDescent="0.35">
      <c r="A8">
        <f>'معلومات الطلاب'!A8</f>
        <v>1006</v>
      </c>
      <c r="B8" t="str">
        <f>'معلومات الطلاب'!B8</f>
        <v>أروى محمد الدوسري</v>
      </c>
      <c r="C8" t="str">
        <f>'معلومات الطلاب'!D8</f>
        <v>السادس</v>
      </c>
      <c r="D8">
        <f>'معلومات الطلاب'!E8</f>
        <v>1</v>
      </c>
      <c r="E8" t="str">
        <f>'معلومات الطلاب'!F8</f>
        <v>علوم</v>
      </c>
      <c r="F8" s="2">
        <v>2</v>
      </c>
      <c r="G8" s="2">
        <v>5</v>
      </c>
      <c r="H8" s="2">
        <v>2</v>
      </c>
      <c r="I8" s="2">
        <v>5</v>
      </c>
      <c r="J8" s="2">
        <v>1</v>
      </c>
      <c r="K8" s="2">
        <v>5</v>
      </c>
      <c r="L8" s="2">
        <v>3</v>
      </c>
      <c r="M8" s="2">
        <v>5</v>
      </c>
      <c r="N8" s="2">
        <v>0</v>
      </c>
      <c r="O8">
        <v>0</v>
      </c>
      <c r="P8" s="2">
        <v>13</v>
      </c>
      <c r="Q8" s="5">
        <v>20</v>
      </c>
      <c r="R8" s="7">
        <v>18</v>
      </c>
      <c r="S8" s="6">
        <v>20</v>
      </c>
      <c r="T8" s="6">
        <v>0</v>
      </c>
      <c r="U8" s="6">
        <v>0</v>
      </c>
      <c r="V8" s="6">
        <v>40</v>
      </c>
      <c r="W8" s="7">
        <v>40</v>
      </c>
      <c r="X8">
        <f t="shared" si="0"/>
        <v>79</v>
      </c>
      <c r="Y8">
        <f t="shared" si="0"/>
        <v>100</v>
      </c>
      <c r="Z8">
        <f t="shared" si="1"/>
        <v>0.79</v>
      </c>
      <c r="AA8" t="str">
        <f t="shared" si="2"/>
        <v>جيد</v>
      </c>
      <c r="AB8" t="str">
        <f t="shared" si="3"/>
        <v>محتاج متابعة</v>
      </c>
    </row>
    <row r="9" spans="1:33" ht="15" thickBot="1" x14ac:dyDescent="0.35">
      <c r="A9">
        <f>'معلومات الطلاب'!A9</f>
        <v>1007</v>
      </c>
      <c r="B9" t="str">
        <f>'معلومات الطلاب'!B9</f>
        <v>لجين حمد العبد الله</v>
      </c>
      <c r="C9" t="str">
        <f>'معلومات الطلاب'!D9</f>
        <v>السادس</v>
      </c>
      <c r="D9">
        <f>'معلومات الطلاب'!E9</f>
        <v>1</v>
      </c>
      <c r="E9" t="str">
        <f>'معلومات الطلاب'!F9</f>
        <v>علوم</v>
      </c>
      <c r="F9" s="2">
        <v>1</v>
      </c>
      <c r="G9" s="2">
        <v>5</v>
      </c>
      <c r="H9" s="2">
        <v>5</v>
      </c>
      <c r="I9" s="2">
        <v>5</v>
      </c>
      <c r="J9" s="2">
        <v>3</v>
      </c>
      <c r="K9" s="2">
        <v>5</v>
      </c>
      <c r="L9" s="2">
        <v>3</v>
      </c>
      <c r="M9" s="2">
        <v>5</v>
      </c>
      <c r="N9" s="2">
        <v>0</v>
      </c>
      <c r="O9">
        <v>0</v>
      </c>
      <c r="P9" s="2">
        <v>18</v>
      </c>
      <c r="Q9" s="5">
        <v>20</v>
      </c>
      <c r="R9" s="7">
        <v>5</v>
      </c>
      <c r="S9" s="6">
        <v>20</v>
      </c>
      <c r="T9" s="6">
        <v>0</v>
      </c>
      <c r="U9" s="6">
        <v>0</v>
      </c>
      <c r="V9" s="6">
        <v>40</v>
      </c>
      <c r="W9" s="7">
        <v>40</v>
      </c>
      <c r="X9">
        <f t="shared" si="0"/>
        <v>75</v>
      </c>
      <c r="Y9">
        <f t="shared" si="0"/>
        <v>100</v>
      </c>
      <c r="Z9">
        <f t="shared" si="1"/>
        <v>0.75</v>
      </c>
      <c r="AA9" t="str">
        <f t="shared" si="2"/>
        <v>جيد</v>
      </c>
      <c r="AB9" t="str">
        <f t="shared" si="3"/>
        <v>محتاج متابعة</v>
      </c>
    </row>
    <row r="10" spans="1:33" ht="15" thickBot="1" x14ac:dyDescent="0.35">
      <c r="A10">
        <f>'معلومات الطلاب'!A10</f>
        <v>1008</v>
      </c>
      <c r="B10" t="str">
        <f>'معلومات الطلاب'!B10</f>
        <v>جود سلطان العتيبي</v>
      </c>
      <c r="C10" t="str">
        <f>'معلومات الطلاب'!D10</f>
        <v>السادس</v>
      </c>
      <c r="D10">
        <f>'معلومات الطلاب'!E10</f>
        <v>1</v>
      </c>
      <c r="E10" t="str">
        <f>'معلومات الطلاب'!F10</f>
        <v>علوم</v>
      </c>
      <c r="F10" s="2">
        <v>1</v>
      </c>
      <c r="G10" s="2">
        <v>5</v>
      </c>
      <c r="H10" s="2">
        <v>2</v>
      </c>
      <c r="I10" s="2">
        <v>5</v>
      </c>
      <c r="J10" s="2">
        <v>4</v>
      </c>
      <c r="K10" s="2">
        <v>5</v>
      </c>
      <c r="L10" s="2">
        <v>3</v>
      </c>
      <c r="M10" s="2">
        <v>5</v>
      </c>
      <c r="N10" s="2">
        <v>0</v>
      </c>
      <c r="O10">
        <v>0</v>
      </c>
      <c r="P10" s="2">
        <v>16</v>
      </c>
      <c r="Q10" s="5">
        <v>20</v>
      </c>
      <c r="R10" s="7">
        <v>11</v>
      </c>
      <c r="S10" s="6">
        <v>20</v>
      </c>
      <c r="T10" s="6">
        <v>0</v>
      </c>
      <c r="U10" s="6">
        <v>0</v>
      </c>
      <c r="V10" s="6">
        <v>40</v>
      </c>
      <c r="W10" s="7">
        <v>40</v>
      </c>
      <c r="X10">
        <f t="shared" si="0"/>
        <v>77</v>
      </c>
      <c r="Y10">
        <f t="shared" si="0"/>
        <v>100</v>
      </c>
      <c r="Z10">
        <f t="shared" si="1"/>
        <v>0.77</v>
      </c>
      <c r="AA10" t="str">
        <f t="shared" si="2"/>
        <v>جيد</v>
      </c>
      <c r="AB10" t="str">
        <f t="shared" si="3"/>
        <v>محتاج متابعة</v>
      </c>
    </row>
    <row r="11" spans="1:33" ht="15" thickBot="1" x14ac:dyDescent="0.35">
      <c r="A11">
        <f>'معلومات الطلاب'!A11</f>
        <v>1009</v>
      </c>
      <c r="B11" t="str">
        <f>'معلومات الطلاب'!B11</f>
        <v>حلا يوسف المطر</v>
      </c>
      <c r="C11" t="str">
        <f>'معلومات الطلاب'!D11</f>
        <v>السادس</v>
      </c>
      <c r="D11">
        <f>'معلومات الطلاب'!E11</f>
        <v>2</v>
      </c>
      <c r="E11" t="str">
        <f>'معلومات الطلاب'!F11</f>
        <v>علوم</v>
      </c>
      <c r="F11" s="2">
        <v>2</v>
      </c>
      <c r="G11" s="2">
        <v>5</v>
      </c>
      <c r="H11" s="2">
        <v>4</v>
      </c>
      <c r="I11" s="2">
        <v>5</v>
      </c>
      <c r="J11" s="2">
        <v>2</v>
      </c>
      <c r="K11" s="2">
        <v>5</v>
      </c>
      <c r="L11" s="2">
        <v>3</v>
      </c>
      <c r="M11" s="2">
        <v>5</v>
      </c>
      <c r="N11" s="2">
        <v>0</v>
      </c>
      <c r="O11">
        <v>0</v>
      </c>
      <c r="P11" s="2">
        <v>3</v>
      </c>
      <c r="Q11" s="5">
        <v>20</v>
      </c>
      <c r="R11" s="7">
        <v>20</v>
      </c>
      <c r="S11" s="6">
        <v>20</v>
      </c>
      <c r="T11" s="6">
        <v>0</v>
      </c>
      <c r="U11" s="6">
        <v>0</v>
      </c>
      <c r="V11" s="6">
        <v>40</v>
      </c>
      <c r="W11" s="7">
        <v>40</v>
      </c>
      <c r="X11">
        <f t="shared" si="0"/>
        <v>74</v>
      </c>
      <c r="Y11">
        <f t="shared" si="0"/>
        <v>100</v>
      </c>
      <c r="Z11">
        <f t="shared" si="1"/>
        <v>0.74</v>
      </c>
      <c r="AA11" t="str">
        <f t="shared" si="2"/>
        <v>جيد</v>
      </c>
      <c r="AB11" t="str">
        <f t="shared" si="3"/>
        <v>محتاج متابعة</v>
      </c>
    </row>
    <row r="12" spans="1:33" ht="15" thickBot="1" x14ac:dyDescent="0.35">
      <c r="A12">
        <f>'معلومات الطلاب'!A12</f>
        <v>1010</v>
      </c>
      <c r="B12" t="str">
        <f>'معلومات الطلاب'!B12</f>
        <v>غادة إبراهيم الزهراني</v>
      </c>
      <c r="C12" t="str">
        <f>'معلومات الطلاب'!D12</f>
        <v>السادس</v>
      </c>
      <c r="D12">
        <f>'معلومات الطلاب'!E12</f>
        <v>2</v>
      </c>
      <c r="E12" t="str">
        <f>'معلومات الطلاب'!F12</f>
        <v>علوم</v>
      </c>
      <c r="F12" s="2">
        <v>5</v>
      </c>
      <c r="G12" s="2">
        <v>5</v>
      </c>
      <c r="H12" s="2">
        <v>1</v>
      </c>
      <c r="I12" s="2">
        <v>5</v>
      </c>
      <c r="J12" s="2">
        <v>5</v>
      </c>
      <c r="K12" s="2">
        <v>5</v>
      </c>
      <c r="L12" s="2">
        <v>3</v>
      </c>
      <c r="M12" s="2">
        <v>5</v>
      </c>
      <c r="N12" s="2">
        <v>0</v>
      </c>
      <c r="O12">
        <v>0</v>
      </c>
      <c r="P12" s="2">
        <v>6</v>
      </c>
      <c r="Q12" s="5">
        <v>20</v>
      </c>
      <c r="R12" s="7">
        <v>13</v>
      </c>
      <c r="S12" s="6">
        <v>20</v>
      </c>
      <c r="T12" s="6">
        <v>0</v>
      </c>
      <c r="U12" s="6">
        <v>0</v>
      </c>
      <c r="V12" s="6">
        <v>40</v>
      </c>
      <c r="W12" s="7">
        <v>40</v>
      </c>
      <c r="X12">
        <f t="shared" si="0"/>
        <v>73</v>
      </c>
      <c r="Y12">
        <f t="shared" si="0"/>
        <v>100</v>
      </c>
      <c r="Z12">
        <f t="shared" si="1"/>
        <v>0.73</v>
      </c>
      <c r="AA12" t="str">
        <f t="shared" si="2"/>
        <v>جيد</v>
      </c>
      <c r="AB12" t="str">
        <f t="shared" si="3"/>
        <v>محتاج متابعة</v>
      </c>
    </row>
    <row r="13" spans="1:33" ht="15" thickBot="1" x14ac:dyDescent="0.35">
      <c r="A13">
        <f>'معلومات الطلاب'!A13</f>
        <v>1011</v>
      </c>
      <c r="B13" t="str">
        <f>'معلومات الطلاب'!B13</f>
        <v>نوهان ثروت علي</v>
      </c>
      <c r="C13" t="str">
        <f>'معلومات الطلاب'!D13</f>
        <v>السادس</v>
      </c>
      <c r="D13">
        <f>'معلومات الطلاب'!E13</f>
        <v>2</v>
      </c>
      <c r="E13" t="str">
        <f>'معلومات الطلاب'!F13</f>
        <v>علوم</v>
      </c>
      <c r="F13" s="2">
        <v>3</v>
      </c>
      <c r="G13" s="2">
        <v>5</v>
      </c>
      <c r="H13" s="2">
        <v>1</v>
      </c>
      <c r="I13" s="2">
        <v>5</v>
      </c>
      <c r="J13" s="2">
        <v>5</v>
      </c>
      <c r="K13" s="2">
        <v>5</v>
      </c>
      <c r="L13" s="2">
        <v>3</v>
      </c>
      <c r="M13" s="2">
        <v>5</v>
      </c>
      <c r="N13" s="2">
        <v>0</v>
      </c>
      <c r="O13">
        <v>0</v>
      </c>
      <c r="P13" s="2">
        <v>11</v>
      </c>
      <c r="Q13" s="5">
        <v>20</v>
      </c>
      <c r="R13" s="7">
        <v>15</v>
      </c>
      <c r="S13" s="6">
        <v>20</v>
      </c>
      <c r="T13" s="6">
        <v>0</v>
      </c>
      <c r="U13" s="6">
        <v>0</v>
      </c>
      <c r="V13" s="6">
        <v>40</v>
      </c>
      <c r="W13" s="7">
        <v>40</v>
      </c>
      <c r="X13">
        <f t="shared" si="0"/>
        <v>78</v>
      </c>
      <c r="Y13">
        <f t="shared" si="0"/>
        <v>100</v>
      </c>
      <c r="Z13">
        <f t="shared" si="1"/>
        <v>0.78</v>
      </c>
      <c r="AA13" t="str">
        <f t="shared" si="2"/>
        <v>جيد</v>
      </c>
      <c r="AB13" t="str">
        <f t="shared" si="3"/>
        <v>محتاج متابعة</v>
      </c>
    </row>
    <row r="14" spans="1:33" x14ac:dyDescent="0.3">
      <c r="A14">
        <f>'معلومات الطلاب'!A14</f>
        <v>0</v>
      </c>
      <c r="B14">
        <f>'معلومات الطلاب'!B14</f>
        <v>0</v>
      </c>
      <c r="C14">
        <f>'معلومات الطلاب'!D14</f>
        <v>0</v>
      </c>
      <c r="D14">
        <f>'معلومات الطلاب'!E14</f>
        <v>0</v>
      </c>
      <c r="E14">
        <f>'معلومات الطلاب'!F14</f>
        <v>0</v>
      </c>
    </row>
    <row r="15" spans="1:33" x14ac:dyDescent="0.3">
      <c r="A15">
        <f>'معلومات الطلاب'!A15</f>
        <v>0</v>
      </c>
      <c r="B15">
        <f>'معلومات الطلاب'!B15</f>
        <v>0</v>
      </c>
      <c r="C15">
        <f>'معلومات الطلاب'!D15</f>
        <v>0</v>
      </c>
      <c r="D15">
        <f>'معلومات الطلاب'!E15</f>
        <v>0</v>
      </c>
      <c r="E15">
        <f>'معلومات الطلاب'!F15</f>
        <v>0</v>
      </c>
    </row>
    <row r="16" spans="1:33" x14ac:dyDescent="0.3">
      <c r="A16">
        <f>'معلومات الطلاب'!A16</f>
        <v>0</v>
      </c>
      <c r="B16">
        <f>'معلومات الطلاب'!B16</f>
        <v>0</v>
      </c>
      <c r="C16">
        <f>'معلومات الطلاب'!D16</f>
        <v>0</v>
      </c>
      <c r="D16">
        <f>'معلومات الطلاب'!E16</f>
        <v>0</v>
      </c>
      <c r="E16">
        <f>'معلومات الطلاب'!F16</f>
        <v>0</v>
      </c>
    </row>
    <row r="17" spans="1:23" x14ac:dyDescent="0.3">
      <c r="A17">
        <f>'معلومات الطلاب'!A17</f>
        <v>0</v>
      </c>
      <c r="B17">
        <f>'معلومات الطلاب'!B17</f>
        <v>0</v>
      </c>
      <c r="C17">
        <f>'معلومات الطلاب'!D17</f>
        <v>0</v>
      </c>
      <c r="D17">
        <f>'معلومات الطلاب'!E17</f>
        <v>0</v>
      </c>
      <c r="E17">
        <f>'معلومات الطلاب'!F17</f>
        <v>0</v>
      </c>
    </row>
    <row r="18" spans="1:23" x14ac:dyDescent="0.3">
      <c r="A18">
        <f>'معلومات الطلاب'!A18</f>
        <v>0</v>
      </c>
      <c r="B18">
        <f>'معلومات الطلاب'!B18</f>
        <v>0</v>
      </c>
      <c r="C18">
        <f>'معلومات الطلاب'!D18</f>
        <v>0</v>
      </c>
      <c r="D18">
        <f>'معلومات الطلاب'!E18</f>
        <v>0</v>
      </c>
      <c r="E18">
        <f>'معلومات الطلاب'!F18</f>
        <v>0</v>
      </c>
    </row>
    <row r="19" spans="1:23" x14ac:dyDescent="0.3">
      <c r="A19">
        <f>'معلومات الطلاب'!A19</f>
        <v>0</v>
      </c>
      <c r="B19">
        <f>'معلومات الطلاب'!B19</f>
        <v>0</v>
      </c>
      <c r="C19">
        <f>'معلومات الطلاب'!D19</f>
        <v>0</v>
      </c>
      <c r="D19">
        <f>'معلومات الطلاب'!E19</f>
        <v>0</v>
      </c>
      <c r="E19">
        <f>'معلومات الطلاب'!F19</f>
        <v>0</v>
      </c>
    </row>
    <row r="20" spans="1:23" x14ac:dyDescent="0.3">
      <c r="A20">
        <f>'معلومات الطلاب'!A20</f>
        <v>0</v>
      </c>
      <c r="B20">
        <f>'معلومات الطلاب'!B20</f>
        <v>0</v>
      </c>
      <c r="C20">
        <f>'معلومات الطلاب'!D20</f>
        <v>0</v>
      </c>
      <c r="D20">
        <f>'معلومات الطلاب'!E20</f>
        <v>0</v>
      </c>
      <c r="E20">
        <f>'معلومات الطلاب'!F20</f>
        <v>0</v>
      </c>
    </row>
    <row r="21" spans="1:23" x14ac:dyDescent="0.3">
      <c r="A21">
        <f>'معلومات الطلاب'!A21</f>
        <v>0</v>
      </c>
      <c r="B21">
        <f>'معلومات الطلاب'!B21</f>
        <v>0</v>
      </c>
      <c r="C21">
        <f>'معلومات الطلاب'!D21</f>
        <v>0</v>
      </c>
      <c r="D21">
        <f>'معلومات الطلاب'!E21</f>
        <v>0</v>
      </c>
      <c r="E21">
        <f>'معلومات الطلاب'!F21</f>
        <v>0</v>
      </c>
    </row>
    <row r="22" spans="1:23" x14ac:dyDescent="0.3">
      <c r="A22">
        <f>'معلومات الطلاب'!A22</f>
        <v>0</v>
      </c>
      <c r="B22">
        <f>'معلومات الطلاب'!B22</f>
        <v>0</v>
      </c>
      <c r="C22">
        <f>'معلومات الطلاب'!D22</f>
        <v>0</v>
      </c>
      <c r="D22">
        <f>'معلومات الطلاب'!E22</f>
        <v>0</v>
      </c>
      <c r="E22">
        <f>'معلومات الطلاب'!F22</f>
        <v>0</v>
      </c>
    </row>
    <row r="23" spans="1:23" x14ac:dyDescent="0.3">
      <c r="A23">
        <f>'معلومات الطلاب'!A23</f>
        <v>0</v>
      </c>
      <c r="B23">
        <f>'معلومات الطلاب'!B23</f>
        <v>0</v>
      </c>
      <c r="C23">
        <f>'معلومات الطلاب'!D23</f>
        <v>0</v>
      </c>
      <c r="D23">
        <f>'معلومات الطلاب'!E23</f>
        <v>0</v>
      </c>
      <c r="E23">
        <f>'معلومات الطلاب'!F23</f>
        <v>0</v>
      </c>
    </row>
    <row r="24" spans="1:23" x14ac:dyDescent="0.3">
      <c r="A24">
        <f>'معلومات الطلاب'!A24</f>
        <v>0</v>
      </c>
      <c r="B24">
        <f>'معلومات الطلاب'!B24</f>
        <v>0</v>
      </c>
      <c r="C24">
        <f>'معلومات الطلاب'!D24</f>
        <v>0</v>
      </c>
      <c r="D24">
        <f>'معلومات الطلاب'!E24</f>
        <v>0</v>
      </c>
      <c r="E24">
        <f>'معلومات الطلاب'!F24</f>
        <v>0</v>
      </c>
    </row>
    <row r="25" spans="1:23" x14ac:dyDescent="0.3">
      <c r="A25">
        <f>'معلومات الطلاب'!A25</f>
        <v>0</v>
      </c>
      <c r="B25">
        <f>'معلومات الطلاب'!B25</f>
        <v>0</v>
      </c>
      <c r="C25">
        <f>'معلومات الطلاب'!D25</f>
        <v>0</v>
      </c>
      <c r="D25">
        <f>'معلومات الطلاب'!E25</f>
        <v>0</v>
      </c>
      <c r="E25">
        <f>'معلومات الطلاب'!F25</f>
        <v>0</v>
      </c>
    </row>
    <row r="26" spans="1:23" ht="15" thickBot="1" x14ac:dyDescent="0.35">
      <c r="A26">
        <f>'معلومات الطلاب'!A26</f>
        <v>0</v>
      </c>
      <c r="B26">
        <f>'معلومات الطلاب'!B26</f>
        <v>0</v>
      </c>
      <c r="C26">
        <f>'معلومات الطلاب'!D26</f>
        <v>0</v>
      </c>
      <c r="D26">
        <f>'معلومات الطلاب'!E26</f>
        <v>0</v>
      </c>
      <c r="E26">
        <f>'معلومات الطلاب'!F26</f>
        <v>0</v>
      </c>
    </row>
    <row r="27" spans="1:23" ht="15" thickBot="1" x14ac:dyDescent="0.35">
      <c r="A27">
        <f>'معلومات الطلاب'!A27</f>
        <v>0</v>
      </c>
      <c r="B27">
        <f>'معلومات الطلاب'!B27</f>
        <v>0</v>
      </c>
      <c r="C27">
        <f>'معلومات الطلاب'!D27</f>
        <v>0</v>
      </c>
      <c r="D27">
        <f>'معلومات الطلاب'!E27</f>
        <v>0</v>
      </c>
      <c r="E27">
        <f>'معلومات الطلاب'!F27</f>
        <v>0</v>
      </c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" thickBot="1" x14ac:dyDescent="0.35"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ht="15" thickBot="1" x14ac:dyDescent="0.35"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ht="15" thickBot="1" x14ac:dyDescent="0.35"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ht="15" thickBot="1" x14ac:dyDescent="0.35"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ht="15" thickBot="1" x14ac:dyDescent="0.35"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4:23" ht="15" thickBot="1" x14ac:dyDescent="0.35"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4:23" ht="15" thickBot="1" x14ac:dyDescent="0.35"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4:23" ht="15" thickBot="1" x14ac:dyDescent="0.35"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4:23" ht="15" thickBot="1" x14ac:dyDescent="0.35"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4:23" ht="15" thickBot="1" x14ac:dyDescent="0.35">
      <c r="N37" s="2"/>
      <c r="O37" s="2"/>
      <c r="P37" s="2"/>
      <c r="Q37" s="2"/>
      <c r="R37" s="2"/>
      <c r="S37" s="2"/>
      <c r="T37" s="2"/>
      <c r="U37" s="2"/>
      <c r="V37" s="2"/>
      <c r="W37" s="2"/>
    </row>
  </sheetData>
  <mergeCells count="1">
    <mergeCell ref="A2:AB2"/>
  </mergeCell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معلومات الطلاب</vt:lpstr>
      <vt:lpstr>درجات الفصل الأول</vt:lpstr>
      <vt:lpstr>درجات الفصل الثاني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2026-09-05T14:44:09Z</dcterms:created>
  <dcterms:modified xsi:type="dcterms:W3CDTF">2026-09-05T18:10:06Z</dcterms:modified>
</cp:coreProperties>
</file>