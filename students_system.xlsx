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 activeTab="2"/>
  </bookViews>
  <sheets>
    <sheet name="معلومات الطلاب" sheetId="1" r:id="rId1"/>
    <sheet name="درجات الفصل الاول" sheetId="2" r:id="rId2"/>
    <sheet name="درجات الفصل الثاني" sheetId="4" r:id="rId3"/>
    <sheet name="ورقة1" sheetId="5" r:id="rId4"/>
  </sheets>
  <externalReferences>
    <externalReference r:id="rId5"/>
  </externalReferences>
  <calcPr calcId="144525"/>
</workbook>
</file>

<file path=xl/calcChain.xml><?xml version="1.0" encoding="utf-8"?>
<calcChain xmlns="http://schemas.openxmlformats.org/spreadsheetml/2006/main">
  <c r="B4" i="4" l="1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5" i="2"/>
  <c r="AC4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B4" i="2"/>
  <c r="I7" i="5" l="1"/>
  <c r="A5" i="2"/>
  <c r="A6" i="2"/>
  <c r="A7" i="2"/>
  <c r="A8" i="2"/>
  <c r="A9" i="2"/>
  <c r="A10" i="2"/>
  <c r="A11" i="2"/>
  <c r="A12" i="2"/>
  <c r="A13" i="2"/>
  <c r="A14" i="2"/>
  <c r="A15" i="2"/>
  <c r="A4" i="2"/>
  <c r="E5" i="4"/>
  <c r="E6" i="4"/>
  <c r="E7" i="4"/>
  <c r="E8" i="4"/>
  <c r="E9" i="4"/>
  <c r="E10" i="4"/>
  <c r="E11" i="4"/>
  <c r="E12" i="4"/>
  <c r="E13" i="4"/>
  <c r="E14" i="4"/>
  <c r="E15" i="4"/>
  <c r="E4" i="4"/>
  <c r="D15" i="4"/>
  <c r="D5" i="4"/>
  <c r="D6" i="4"/>
  <c r="D7" i="4"/>
  <c r="D8" i="4"/>
  <c r="D9" i="4"/>
  <c r="D10" i="4"/>
  <c r="D11" i="4"/>
  <c r="D12" i="4"/>
  <c r="D13" i="4"/>
  <c r="D14" i="4"/>
  <c r="D4" i="4"/>
  <c r="C5" i="4"/>
  <c r="C6" i="4"/>
  <c r="C7" i="4"/>
  <c r="C8" i="4"/>
  <c r="C9" i="4"/>
  <c r="C10" i="4"/>
  <c r="C11" i="4"/>
  <c r="C12" i="4"/>
  <c r="C13" i="4"/>
  <c r="C14" i="4"/>
  <c r="C15" i="4"/>
  <c r="C4" i="4"/>
  <c r="A5" i="4"/>
  <c r="A6" i="4"/>
  <c r="A7" i="4"/>
  <c r="A8" i="4"/>
  <c r="A9" i="4"/>
  <c r="A10" i="4"/>
  <c r="A11" i="4"/>
  <c r="A12" i="4"/>
  <c r="A13" i="4"/>
  <c r="A14" i="4"/>
  <c r="A15" i="4"/>
  <c r="A4" i="4"/>
  <c r="B5" i="4"/>
  <c r="B6" i="4"/>
  <c r="B7" i="4"/>
  <c r="B8" i="4"/>
  <c r="B9" i="4"/>
  <c r="B10" i="4"/>
  <c r="B11" i="4"/>
  <c r="B12" i="4"/>
  <c r="B13" i="4"/>
  <c r="B14" i="4"/>
  <c r="B15" i="4"/>
  <c r="B15" i="2"/>
  <c r="B5" i="2"/>
  <c r="B6" i="2"/>
  <c r="B7" i="2"/>
  <c r="B8" i="2"/>
  <c r="B9" i="2"/>
  <c r="B10" i="2"/>
  <c r="B11" i="2"/>
  <c r="B12" i="2"/>
  <c r="B13" i="2"/>
  <c r="B14" i="2"/>
  <c r="X14" i="2" l="1"/>
  <c r="Y14" i="2"/>
  <c r="C14" i="2"/>
  <c r="D14" i="2"/>
  <c r="E14" i="2"/>
  <c r="Z14" i="2" l="1"/>
  <c r="AA14" i="2" s="1"/>
  <c r="AB14" i="2" l="1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Y13" i="4"/>
  <c r="X13" i="4"/>
  <c r="Y12" i="4"/>
  <c r="X12" i="4"/>
  <c r="Z12" i="4" s="1"/>
  <c r="AB12" i="4" s="1"/>
  <c r="Y11" i="4"/>
  <c r="X11" i="4"/>
  <c r="Y10" i="4"/>
  <c r="X10" i="4"/>
  <c r="Z10" i="4" s="1"/>
  <c r="Y9" i="4"/>
  <c r="X9" i="4"/>
  <c r="Y8" i="4"/>
  <c r="X8" i="4"/>
  <c r="Y7" i="4"/>
  <c r="X7" i="4"/>
  <c r="Y6" i="4"/>
  <c r="X6" i="4"/>
  <c r="Z6" i="4" s="1"/>
  <c r="Y5" i="4"/>
  <c r="X5" i="4"/>
  <c r="Y4" i="4"/>
  <c r="X4" i="4"/>
  <c r="E13" i="2"/>
  <c r="D13" i="2"/>
  <c r="C13" i="2"/>
  <c r="AB6" i="2"/>
  <c r="AA6" i="2"/>
  <c r="Y5" i="2"/>
  <c r="Y6" i="2"/>
  <c r="Y7" i="2"/>
  <c r="Y8" i="2"/>
  <c r="Y9" i="2"/>
  <c r="Y10" i="2"/>
  <c r="Y11" i="2"/>
  <c r="Y12" i="2"/>
  <c r="Y13" i="2"/>
  <c r="X5" i="2"/>
  <c r="X6" i="2"/>
  <c r="Z6" i="2" s="1"/>
  <c r="X7" i="2"/>
  <c r="Z7" i="2" s="1"/>
  <c r="AB7" i="2" s="1"/>
  <c r="X8" i="2"/>
  <c r="Z8" i="2" s="1"/>
  <c r="AB8" i="2" s="1"/>
  <c r="X9" i="2"/>
  <c r="X10" i="2"/>
  <c r="Z10" i="2" s="1"/>
  <c r="AB10" i="2" s="1"/>
  <c r="X11" i="2"/>
  <c r="X12" i="2"/>
  <c r="Z12" i="2" s="1"/>
  <c r="AB12" i="2" s="1"/>
  <c r="X13" i="2"/>
  <c r="X4" i="2"/>
  <c r="Y4" i="2"/>
  <c r="Z4" i="2" s="1"/>
  <c r="Z5" i="4" l="1"/>
  <c r="AA5" i="4" s="1"/>
  <c r="Z9" i="4"/>
  <c r="Z13" i="4"/>
  <c r="AA4" i="2"/>
  <c r="AB4" i="2"/>
  <c r="AA12" i="2"/>
  <c r="AA10" i="2"/>
  <c r="Z13" i="2"/>
  <c r="Z5" i="2"/>
  <c r="AA8" i="2"/>
  <c r="Z11" i="2"/>
  <c r="AA7" i="2"/>
  <c r="Z9" i="2"/>
  <c r="Z7" i="4"/>
  <c r="AB7" i="4" s="1"/>
  <c r="Z11" i="4"/>
  <c r="AA11" i="4" s="1"/>
  <c r="Z8" i="4"/>
  <c r="AB8" i="4" s="1"/>
  <c r="Z4" i="4"/>
  <c r="AB4" i="4" s="1"/>
  <c r="AB13" i="4"/>
  <c r="AA13" i="4"/>
  <c r="AB10" i="4"/>
  <c r="AA10" i="4"/>
  <c r="AB9" i="4"/>
  <c r="AA9" i="4"/>
  <c r="AB6" i="4"/>
  <c r="AA6" i="4"/>
  <c r="AA12" i="4"/>
  <c r="E5" i="2"/>
  <c r="E6" i="2"/>
  <c r="E7" i="2"/>
  <c r="E8" i="2"/>
  <c r="E9" i="2"/>
  <c r="E10" i="2"/>
  <c r="E11" i="2"/>
  <c r="E12" i="2"/>
  <c r="E4" i="2"/>
  <c r="D5" i="2"/>
  <c r="D6" i="2"/>
  <c r="D7" i="2"/>
  <c r="D8" i="2"/>
  <c r="D9" i="2"/>
  <c r="D10" i="2"/>
  <c r="D11" i="2"/>
  <c r="D12" i="2"/>
  <c r="D4" i="2"/>
  <c r="C5" i="2"/>
  <c r="C6" i="2"/>
  <c r="C7" i="2"/>
  <c r="C8" i="2"/>
  <c r="C9" i="2"/>
  <c r="C10" i="2"/>
  <c r="C11" i="2"/>
  <c r="C12" i="2"/>
  <c r="C4" i="2"/>
  <c r="AA7" i="4" l="1"/>
  <c r="AB5" i="4"/>
  <c r="AA4" i="4"/>
  <c r="AB9" i="2"/>
  <c r="AA9" i="2"/>
  <c r="AB11" i="2"/>
  <c r="AA11" i="2"/>
  <c r="AA5" i="2"/>
  <c r="AB5" i="2"/>
  <c r="AA13" i="2"/>
  <c r="AB13" i="2"/>
  <c r="AB11" i="4"/>
  <c r="AA8" i="4"/>
</calcChain>
</file>

<file path=xl/sharedStrings.xml><?xml version="1.0" encoding="utf-8"?>
<sst xmlns="http://schemas.openxmlformats.org/spreadsheetml/2006/main" count="141" uniqueCount="60">
  <si>
    <t>رقم الطالبة</t>
  </si>
  <si>
    <t>اسم الطالبة</t>
  </si>
  <si>
    <t>السنة الدراسية</t>
  </si>
  <si>
    <t>الصف الدراسي</t>
  </si>
  <si>
    <t>الفصل</t>
  </si>
  <si>
    <t>المادة</t>
  </si>
  <si>
    <t>اسم المعلمة</t>
  </si>
  <si>
    <t>سارة أحمد المحمد</t>
  </si>
  <si>
    <t>2025 - 2026</t>
  </si>
  <si>
    <t>الخامس</t>
  </si>
  <si>
    <t>رياضيات</t>
  </si>
  <si>
    <t>أ. نورة الغامدي</t>
  </si>
  <si>
    <t>نورة خالد العتيبي</t>
  </si>
  <si>
    <t>ريم عبد الله السبيعي</t>
  </si>
  <si>
    <t>شهد فهد القحطاني</t>
  </si>
  <si>
    <t>مريم علي الشهري</t>
  </si>
  <si>
    <t>أروى محمد الدوسري</t>
  </si>
  <si>
    <t>السادس</t>
  </si>
  <si>
    <t>علوم</t>
  </si>
  <si>
    <t>أ. مريم الشمري</t>
  </si>
  <si>
    <t>لجين حمد العبد الله</t>
  </si>
  <si>
    <t>جود سلطان العتيبي</t>
  </si>
  <si>
    <t>حلا يوسف المطر</t>
  </si>
  <si>
    <t>غادة إبراهيم الزهراني</t>
  </si>
  <si>
    <t>نظام التحليل المدرسي الموحد - قاعدة بيانات الطلاب</t>
  </si>
  <si>
    <t>كويز 1</t>
  </si>
  <si>
    <t>كويز 2</t>
  </si>
  <si>
    <t>كويز 3</t>
  </si>
  <si>
    <t>كويز 4</t>
  </si>
  <si>
    <t>كويز 5</t>
  </si>
  <si>
    <t>الفترة الأولى</t>
  </si>
  <si>
    <t>الفترة الثانية</t>
  </si>
  <si>
    <t>اختبار التحسين</t>
  </si>
  <si>
    <t>اختبار نهاية الفصل</t>
  </si>
  <si>
    <t>المجموع المستحق</t>
  </si>
  <si>
    <t>المجموع الكلي</t>
  </si>
  <si>
    <t>النسبة المئوية</t>
  </si>
  <si>
    <t>التقدير العام</t>
  </si>
  <si>
    <t>حالة الخطة العلاجية</t>
  </si>
  <si>
    <t>رقم</t>
  </si>
  <si>
    <t>الطالبة</t>
  </si>
  <si>
    <t>كويز 1 الكلي</t>
  </si>
  <si>
    <t>كويز 2 الكلي</t>
  </si>
  <si>
    <t>كويز 3 الكلي</t>
  </si>
  <si>
    <t>كويز 4 الكلي</t>
  </si>
  <si>
    <t>كويز 5 الكلي</t>
  </si>
  <si>
    <t>الفترة الأولى الكلي</t>
  </si>
  <si>
    <t>الفترة الثانية الكلي</t>
  </si>
  <si>
    <t>اختبار التحسين الكلي</t>
  </si>
  <si>
    <t>اختبار نهاية الفصل الكلي</t>
  </si>
  <si>
    <t>السجل الشامل لدرجات وحالة أداء الطالبات - الفصل الدراسي الأول</t>
  </si>
  <si>
    <t>نوهان ثروت علي</t>
  </si>
  <si>
    <t>2026 - 2026</t>
  </si>
  <si>
    <t>السجل الشامل لدرجات وحالة أداء الطالبات - الفصل الدراسي الثاني</t>
  </si>
  <si>
    <t>سلمى محمد على يوسف</t>
  </si>
  <si>
    <t>2027 - 2026</t>
  </si>
  <si>
    <t>لغتي</t>
  </si>
  <si>
    <t>القسم</t>
  </si>
  <si>
    <t>عام</t>
  </si>
  <si>
    <t>تحفيظ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</si>
</sst>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2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1F1F1F"/>
      <name val="Arial"/>
    </font>
    <font>
      <b/>
      <sz val="11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2" fillId="0" borderId="3" xfId="0" applyFont="1" applyBorder="1" applyAlignment="1">
      <alignment horizontal="right" vertical="center" wrapText="1" indent="1" readingOrder="2"/>
    </xf>
    <xf numFmtId="0" fontId="1" fillId="0" borderId="4" xfId="0" applyFont="1" applyFill="1" applyBorder="1" applyAlignment="1">
      <alignment horizontal="right" vertical="center" wrapText="1" indent="1" readingOrder="2"/>
    </xf>
    <xf numFmtId="0" fontId="1" fillId="0" borderId="5" xfId="0" applyFont="1" applyFill="1" applyBorder="1" applyAlignment="1">
      <alignment horizontal="right" vertical="center" wrapText="1" indent="1" readingOrder="2"/>
    </xf>
    <xf numFmtId="0" fontId="1" fillId="0" borderId="0" xfId="0" applyFont="1" applyFill="1" applyBorder="1" applyAlignment="1">
      <alignment horizontal="right" vertical="center" wrapText="1" indent="1" readingOrder="2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right" vertical="center" wrapText="1" indent="1" readingOrder="2"/>
    </xf>
    <xf numFmtId="0" fontId="6" fillId="0" borderId="3" xfId="0" applyFont="1" applyBorder="1" applyAlignment="1">
      <alignment horizontal="right" vertical="center" wrapText="1" indent="1" readingOrder="2"/>
    </xf>
    <xf numFmtId="0" fontId="6" fillId="0" borderId="6" xfId="0" applyFont="1" applyBorder="1" applyAlignment="1">
      <alignment horizontal="right" vertical="center" wrapText="1" indent="1" readingOrder="2"/>
    </xf>
    <xf numFmtId="0" fontId="7" fillId="0" borderId="3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center" textRotation="0" wrapText="1" indent="1" justifyLastLine="0" shrinkToFit="0" readingOrder="2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75;&#1604;&#1601;&#1589;&#1604;%20&#1575;&#1604;&#1583;&#1585;&#1575;&#1587;&#1610;%20&#1575;&#1604;&#1575;&#1608;&#160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فصل الدراسي الاول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3" name="الجدول3" displayName="الجدول3" ref="A2:H21" totalsRowShown="0" headerRowDxfId="19" dataDxfId="17" headerRowBorderDxfId="18" tableBorderDxfId="16">
  <autoFilter ref="A2:H21"/>
  <tableColumns count="8">
    <tableColumn id="1" name="رقم الطالبة" dataDxfId="15"/>
    <tableColumn id="2" name="اسم الطالبة" dataDxfId="14"/>
    <tableColumn id="3" name="السنة الدراسية" dataDxfId="13"/>
    <tableColumn id="4" name="الصف الدراسي" dataDxfId="12"/>
    <tableColumn id="5" name="الفصل" dataDxfId="11"/>
    <tableColumn id="6" name="المادة" dataDxfId="10"/>
    <tableColumn id="7" name="اسم المعلمة" dataDxfId="9"/>
    <tableColumn id="8" name="القسم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الجدول1" displayName="الجدول1" ref="A3:AC411" totalsRowShown="0" headerRowDxfId="8" headerRowBorderDxfId="7" tableBorderDxfId="6">
  <autoFilter ref="A3:AC411"/>
  <tableColumns count="29">
    <tableColumn id="1" name="رقم"/>
    <tableColumn id="2" name="الطالبة"/>
    <tableColumn id="3" name="الصف الدراسي"/>
    <tableColumn id="4" name="الفصل"/>
    <tableColumn id="5" name="المادة"/>
    <tableColumn id="6" name="كويز 1"/>
    <tableColumn id="7" name="كويز 1 الكلي"/>
    <tableColumn id="8" name="كويز 2"/>
    <tableColumn id="9" name="كويز 2 الكلي"/>
    <tableColumn id="10" name="كويز 3"/>
    <tableColumn id="11" name="كويز 3 الكلي"/>
    <tableColumn id="12" name="كويز 4"/>
    <tableColumn id="13" name="كويز 4 الكلي"/>
    <tableColumn id="14" name="كويز 5"/>
    <tableColumn id="15" name="كويز 5 الكلي"/>
    <tableColumn id="16" name="الفترة الأولى"/>
    <tableColumn id="17" name="الفترة الأولى الكلي"/>
    <tableColumn id="18" name="الفترة الثانية"/>
    <tableColumn id="19" name="الفترة الثانية الكلي"/>
    <tableColumn id="20" name="اختبار التحسين"/>
    <tableColumn id="21" name="اختبار التحسين الكلي"/>
    <tableColumn id="22" name="اختبار نهاية الفصل"/>
    <tableColumn id="23" name="اختبار نهاية الفصل الكلي"/>
    <tableColumn id="24" name="المجموع المستحق"/>
    <tableColumn id="25" name="المجموع الكلي"/>
    <tableColumn id="26" name="النسبة المئوية"/>
    <tableColumn id="27" name="التقدير العام"/>
    <tableColumn id="28" name="حالة الخطة العلاجية"/>
    <tableColumn id="29" name="القسم" dataDxfId="1">
      <calculatedColumnFormula>'معلومات الطلاب'!H3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الجدول13" displayName="الجدول13" ref="A3:AC411" totalsRowShown="0" headerRowDxfId="5" headerRowBorderDxfId="4" tableBorderDxfId="3">
  <autoFilter ref="A3:AC411"/>
  <tableColumns count="29">
    <tableColumn id="1" name="رقم"/>
    <tableColumn id="2" name="الطالبة"/>
    <tableColumn id="3" name="الصف الدراسي"/>
    <tableColumn id="4" name="الفصل"/>
    <tableColumn id="5" name="المادة"/>
    <tableColumn id="6" name="كويز 1"/>
    <tableColumn id="7" name="كويز 1 الكلي"/>
    <tableColumn id="8" name="كويز 2"/>
    <tableColumn id="9" name="كويز 2 الكلي"/>
    <tableColumn id="10" name="كويز 3"/>
    <tableColumn id="11" name="كويز 3 الكلي"/>
    <tableColumn id="12" name="كويز 4"/>
    <tableColumn id="13" name="كويز 4 الكلي"/>
    <tableColumn id="14" name="كويز 5"/>
    <tableColumn id="15" name="كويز 5 الكلي"/>
    <tableColumn id="16" name="الفترة الأولى"/>
    <tableColumn id="17" name="الفترة الأولى الكلي"/>
    <tableColumn id="18" name="الفترة الثانية"/>
    <tableColumn id="19" name="الفترة الثانية الكلي"/>
    <tableColumn id="20" name="اختبار التحسين"/>
    <tableColumn id="21" name="اختبار التحسين الكلي"/>
    <tableColumn id="22" name="اختبار نهاية الفصل"/>
    <tableColumn id="23" name="اختبار نهاية الفصل الكلي"/>
    <tableColumn id="24" name="المجموع المستحق"/>
    <tableColumn id="25" name="المجموع الكلي"/>
    <tableColumn id="26" name="النسبة المئوية"/>
    <tableColumn id="27" name="التقدير العام"/>
    <tableColumn id="28" name="حالة الخطة العلاجية"/>
    <tableColumn id="29" name="القسم" dataDxfId="0">
      <calculatedColumnFormula>'معلومات الطلاب'!H4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rightToLeft="1" workbookViewId="0">
      <selection activeCell="G18" sqref="G18"/>
    </sheetView>
  </sheetViews>
  <sheetFormatPr defaultRowHeight="14.4" x14ac:dyDescent="0.3"/>
  <cols>
    <col min="1" max="1" width="16.88671875" customWidth="1"/>
    <col min="2" max="2" width="20.77734375" customWidth="1"/>
    <col min="3" max="3" width="15.21875" customWidth="1"/>
    <col min="4" max="4" width="18.88671875" customWidth="1"/>
    <col min="5" max="5" width="15.109375" customWidth="1"/>
    <col min="6" max="6" width="23" customWidth="1"/>
    <col min="7" max="7" width="30" customWidth="1"/>
  </cols>
  <sheetData>
    <row r="1" spans="1:8" ht="45" customHeight="1" thickBot="1" x14ac:dyDescent="0.35">
      <c r="A1" s="7" t="s">
        <v>24</v>
      </c>
      <c r="B1" s="7"/>
      <c r="C1" s="7"/>
      <c r="D1" s="7"/>
      <c r="E1" s="7"/>
      <c r="F1" s="7"/>
      <c r="G1" s="7"/>
    </row>
    <row r="2" spans="1:8" ht="15" thickBo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3" t="s">
        <v>57</v>
      </c>
    </row>
    <row r="3" spans="1:8" ht="15" thickBot="1" x14ac:dyDescent="0.35">
      <c r="A3" s="2">
        <v>1001</v>
      </c>
      <c r="B3" s="2" t="s">
        <v>7</v>
      </c>
      <c r="C3" s="2" t="s">
        <v>8</v>
      </c>
      <c r="D3" s="2" t="s">
        <v>9</v>
      </c>
      <c r="E3" s="2">
        <v>1</v>
      </c>
      <c r="F3" s="2" t="s">
        <v>10</v>
      </c>
      <c r="G3" s="2" t="s">
        <v>11</v>
      </c>
      <c r="H3" s="11" t="s">
        <v>58</v>
      </c>
    </row>
    <row r="4" spans="1:8" ht="15" thickBot="1" x14ac:dyDescent="0.35">
      <c r="A4" s="2">
        <v>1002</v>
      </c>
      <c r="B4" s="2" t="s">
        <v>12</v>
      </c>
      <c r="C4" s="2" t="s">
        <v>8</v>
      </c>
      <c r="D4" s="2" t="s">
        <v>9</v>
      </c>
      <c r="E4" s="2">
        <v>1</v>
      </c>
      <c r="F4" s="2" t="s">
        <v>10</v>
      </c>
      <c r="G4" s="2" t="s">
        <v>11</v>
      </c>
      <c r="H4" s="10" t="s">
        <v>59</v>
      </c>
    </row>
    <row r="5" spans="1:8" ht="15" thickBot="1" x14ac:dyDescent="0.35">
      <c r="A5" s="2">
        <v>1003</v>
      </c>
      <c r="B5" s="2" t="s">
        <v>13</v>
      </c>
      <c r="C5" s="2" t="s">
        <v>8</v>
      </c>
      <c r="D5" s="2" t="s">
        <v>9</v>
      </c>
      <c r="E5" s="2">
        <v>1</v>
      </c>
      <c r="F5" s="2" t="s">
        <v>10</v>
      </c>
      <c r="G5" s="2" t="s">
        <v>11</v>
      </c>
      <c r="H5" s="10" t="s">
        <v>59</v>
      </c>
    </row>
    <row r="6" spans="1:8" ht="15" thickBot="1" x14ac:dyDescent="0.35">
      <c r="A6" s="2">
        <v>1004</v>
      </c>
      <c r="B6" s="2" t="s">
        <v>14</v>
      </c>
      <c r="C6" s="2" t="s">
        <v>8</v>
      </c>
      <c r="D6" s="2" t="s">
        <v>9</v>
      </c>
      <c r="E6" s="2">
        <v>2</v>
      </c>
      <c r="F6" s="2" t="s">
        <v>10</v>
      </c>
      <c r="G6" s="2" t="s">
        <v>11</v>
      </c>
      <c r="H6" s="10" t="s">
        <v>58</v>
      </c>
    </row>
    <row r="7" spans="1:8" ht="15" thickBot="1" x14ac:dyDescent="0.35">
      <c r="A7" s="2">
        <v>1005</v>
      </c>
      <c r="B7" s="2" t="s">
        <v>15</v>
      </c>
      <c r="C7" s="2" t="s">
        <v>8</v>
      </c>
      <c r="D7" s="2" t="s">
        <v>9</v>
      </c>
      <c r="E7" s="2">
        <v>2</v>
      </c>
      <c r="F7" s="2" t="s">
        <v>10</v>
      </c>
      <c r="G7" s="2" t="s">
        <v>11</v>
      </c>
      <c r="H7" s="10" t="s">
        <v>59</v>
      </c>
    </row>
    <row r="8" spans="1:8" ht="15" thickBot="1" x14ac:dyDescent="0.35">
      <c r="A8" s="2">
        <v>1006</v>
      </c>
      <c r="B8" s="2" t="s">
        <v>16</v>
      </c>
      <c r="C8" s="2" t="s">
        <v>8</v>
      </c>
      <c r="D8" s="2" t="s">
        <v>17</v>
      </c>
      <c r="E8" s="2">
        <v>1</v>
      </c>
      <c r="F8" s="2" t="s">
        <v>18</v>
      </c>
      <c r="G8" s="2" t="s">
        <v>19</v>
      </c>
      <c r="H8" s="10" t="s">
        <v>59</v>
      </c>
    </row>
    <row r="9" spans="1:8" ht="15" thickBot="1" x14ac:dyDescent="0.35">
      <c r="A9" s="2">
        <v>1007</v>
      </c>
      <c r="B9" s="2" t="s">
        <v>20</v>
      </c>
      <c r="C9" s="2" t="s">
        <v>8</v>
      </c>
      <c r="D9" s="2" t="s">
        <v>17</v>
      </c>
      <c r="E9" s="2">
        <v>1</v>
      </c>
      <c r="F9" s="2" t="s">
        <v>18</v>
      </c>
      <c r="G9" s="2" t="s">
        <v>19</v>
      </c>
      <c r="H9" s="10" t="s">
        <v>59</v>
      </c>
    </row>
    <row r="10" spans="1:8" ht="15" thickBot="1" x14ac:dyDescent="0.35">
      <c r="A10" s="2">
        <v>1008</v>
      </c>
      <c r="B10" s="2" t="s">
        <v>21</v>
      </c>
      <c r="C10" s="2" t="s">
        <v>8</v>
      </c>
      <c r="D10" s="2" t="s">
        <v>17</v>
      </c>
      <c r="E10" s="2">
        <v>1</v>
      </c>
      <c r="F10" s="2" t="s">
        <v>18</v>
      </c>
      <c r="G10" s="2" t="s">
        <v>19</v>
      </c>
      <c r="H10" s="10" t="s">
        <v>59</v>
      </c>
    </row>
    <row r="11" spans="1:8" ht="15" thickBot="1" x14ac:dyDescent="0.35">
      <c r="A11" s="2">
        <v>1009</v>
      </c>
      <c r="B11" s="2" t="s">
        <v>22</v>
      </c>
      <c r="C11" s="2" t="s">
        <v>8</v>
      </c>
      <c r="D11" s="2" t="s">
        <v>17</v>
      </c>
      <c r="E11" s="2">
        <v>2</v>
      </c>
      <c r="F11" s="2" t="s">
        <v>18</v>
      </c>
      <c r="G11" s="2" t="s">
        <v>19</v>
      </c>
      <c r="H11" s="10" t="s">
        <v>59</v>
      </c>
    </row>
    <row r="12" spans="1:8" ht="15" thickBot="1" x14ac:dyDescent="0.35">
      <c r="A12" s="2">
        <v>1010</v>
      </c>
      <c r="B12" s="2" t="s">
        <v>23</v>
      </c>
      <c r="C12" s="2" t="s">
        <v>8</v>
      </c>
      <c r="D12" s="2" t="s">
        <v>17</v>
      </c>
      <c r="E12" s="2">
        <v>2</v>
      </c>
      <c r="F12" s="2" t="s">
        <v>18</v>
      </c>
      <c r="G12" s="2" t="s">
        <v>19</v>
      </c>
      <c r="H12" s="10" t="s">
        <v>58</v>
      </c>
    </row>
    <row r="13" spans="1:8" ht="15" thickBot="1" x14ac:dyDescent="0.35">
      <c r="A13">
        <v>1011</v>
      </c>
      <c r="B13" t="s">
        <v>51</v>
      </c>
      <c r="C13" s="2" t="s">
        <v>52</v>
      </c>
      <c r="D13" s="2" t="s">
        <v>17</v>
      </c>
      <c r="E13" s="2">
        <v>2</v>
      </c>
      <c r="F13" s="2" t="s">
        <v>18</v>
      </c>
      <c r="G13" s="2" t="s">
        <v>19</v>
      </c>
      <c r="H13" s="10" t="s">
        <v>58</v>
      </c>
    </row>
    <row r="14" spans="1:8" ht="15" thickBot="1" x14ac:dyDescent="0.35">
      <c r="A14">
        <v>1012</v>
      </c>
      <c r="B14" t="s">
        <v>54</v>
      </c>
      <c r="C14" s="2" t="s">
        <v>55</v>
      </c>
      <c r="D14" s="2" t="s">
        <v>17</v>
      </c>
      <c r="E14" s="2">
        <v>1</v>
      </c>
      <c r="F14" s="2" t="s">
        <v>56</v>
      </c>
      <c r="G14" s="2" t="s">
        <v>19</v>
      </c>
      <c r="H14" s="10" t="s">
        <v>58</v>
      </c>
    </row>
    <row r="15" spans="1:8" ht="15" thickBot="1" x14ac:dyDescent="0.35">
      <c r="B15" s="2"/>
      <c r="C15" s="2"/>
      <c r="D15" s="2"/>
      <c r="E15" s="2"/>
      <c r="F15" s="2"/>
      <c r="G15" s="2"/>
      <c r="H15" s="10"/>
    </row>
    <row r="16" spans="1:8" ht="15" thickBot="1" x14ac:dyDescent="0.35">
      <c r="B16" s="2"/>
      <c r="C16" s="2"/>
      <c r="D16" s="2"/>
      <c r="E16" s="2"/>
      <c r="F16" s="2"/>
      <c r="G16" s="2"/>
      <c r="H16" s="12"/>
    </row>
    <row r="17" spans="1:8" ht="15" thickBot="1" x14ac:dyDescent="0.35">
      <c r="A17" s="12"/>
      <c r="B17" s="12"/>
      <c r="C17" s="12"/>
      <c r="D17" s="12"/>
      <c r="E17" s="12"/>
      <c r="F17" s="12"/>
      <c r="G17" s="12"/>
      <c r="H17" s="12"/>
    </row>
    <row r="18" spans="1:8" ht="15" thickBot="1" x14ac:dyDescent="0.35">
      <c r="A18" s="10"/>
      <c r="B18" s="10"/>
      <c r="C18" s="10"/>
      <c r="D18" s="10"/>
      <c r="E18" s="10"/>
      <c r="F18" s="10"/>
      <c r="G18" s="10"/>
      <c r="H18" s="10"/>
    </row>
    <row r="19" spans="1:8" ht="15" thickBot="1" x14ac:dyDescent="0.35">
      <c r="A19" s="10"/>
      <c r="B19" s="10"/>
      <c r="C19" s="10"/>
      <c r="D19" s="10"/>
      <c r="E19" s="10"/>
      <c r="F19" s="10"/>
      <c r="G19" s="10"/>
      <c r="H19" s="10"/>
    </row>
    <row r="20" spans="1:8" ht="15" thickBot="1" x14ac:dyDescent="0.35">
      <c r="A20" s="10"/>
      <c r="B20" s="10"/>
      <c r="C20" s="10"/>
      <c r="D20" s="10"/>
      <c r="E20" s="10"/>
      <c r="F20" s="10"/>
      <c r="G20" s="10"/>
      <c r="H20" s="10"/>
    </row>
    <row r="21" spans="1:8" x14ac:dyDescent="0.3">
      <c r="A21" s="12"/>
      <c r="B21" s="12"/>
      <c r="C21" s="12"/>
      <c r="D21" s="12"/>
      <c r="E21" s="12"/>
      <c r="F21" s="12"/>
      <c r="G21" s="12"/>
      <c r="H21" s="12"/>
    </row>
  </sheetData>
  <mergeCells count="1">
    <mergeCell ref="A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411"/>
  <sheetViews>
    <sheetView rightToLeft="1" topLeftCell="M4" zoomScaleNormal="100" workbookViewId="0">
      <selection activeCell="AC5" sqref="AC5"/>
    </sheetView>
  </sheetViews>
  <sheetFormatPr defaultRowHeight="14.4" x14ac:dyDescent="0.3"/>
  <cols>
    <col min="1" max="1" width="6.33203125" customWidth="1"/>
    <col min="2" max="2" width="14.21875" bestFit="1" customWidth="1"/>
    <col min="3" max="3" width="22.77734375" customWidth="1"/>
    <col min="7" max="7" width="12.5546875" customWidth="1"/>
    <col min="9" max="9" width="12.5546875" customWidth="1"/>
    <col min="11" max="11" width="12.5546875" customWidth="1"/>
    <col min="13" max="13" width="12.5546875" customWidth="1"/>
    <col min="15" max="15" width="12.5546875" customWidth="1"/>
    <col min="16" max="16" width="12.33203125" customWidth="1"/>
    <col min="17" max="17" width="16" customWidth="1"/>
    <col min="18" max="18" width="12.21875" customWidth="1"/>
    <col min="19" max="19" width="15.88671875" customWidth="1"/>
    <col min="20" max="20" width="14" customWidth="1"/>
    <col min="21" max="21" width="17.6640625" customWidth="1"/>
    <col min="22" max="22" width="16.44140625" customWidth="1"/>
    <col min="23" max="23" width="20.109375" customWidth="1"/>
    <col min="24" max="24" width="15.88671875" customWidth="1"/>
    <col min="25" max="25" width="13.33203125" customWidth="1"/>
    <col min="26" max="26" width="13.21875" customWidth="1"/>
    <col min="27" max="27" width="11.6640625" customWidth="1"/>
    <col min="28" max="28" width="16.6640625" customWidth="1"/>
  </cols>
  <sheetData>
    <row r="2" spans="1:33" ht="26.4" thickBot="1" x14ac:dyDescent="0.55000000000000004">
      <c r="A2" s="8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33" ht="15" thickBot="1" x14ac:dyDescent="0.35">
      <c r="A3" s="3" t="s">
        <v>39</v>
      </c>
      <c r="B3" s="3" t="s">
        <v>40</v>
      </c>
      <c r="C3" s="3" t="s">
        <v>3</v>
      </c>
      <c r="D3" s="3" t="s">
        <v>4</v>
      </c>
      <c r="E3" s="3" t="s">
        <v>5</v>
      </c>
      <c r="F3" s="3" t="s">
        <v>25</v>
      </c>
      <c r="G3" s="3" t="s">
        <v>41</v>
      </c>
      <c r="H3" s="3" t="s">
        <v>26</v>
      </c>
      <c r="I3" s="3" t="s">
        <v>42</v>
      </c>
      <c r="J3" s="3" t="s">
        <v>27</v>
      </c>
      <c r="K3" s="3" t="s">
        <v>43</v>
      </c>
      <c r="L3" s="3" t="s">
        <v>28</v>
      </c>
      <c r="M3" s="3" t="s">
        <v>44</v>
      </c>
      <c r="N3" s="3" t="s">
        <v>29</v>
      </c>
      <c r="O3" s="3" t="s">
        <v>45</v>
      </c>
      <c r="P3" s="3" t="s">
        <v>30</v>
      </c>
      <c r="Q3" s="3" t="s">
        <v>46</v>
      </c>
      <c r="R3" s="3" t="s">
        <v>31</v>
      </c>
      <c r="S3" s="3" t="s">
        <v>47</v>
      </c>
      <c r="T3" s="3" t="s">
        <v>32</v>
      </c>
      <c r="U3" s="3" t="s">
        <v>48</v>
      </c>
      <c r="V3" s="3" t="s">
        <v>33</v>
      </c>
      <c r="W3" s="3" t="s">
        <v>49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13" t="s">
        <v>57</v>
      </c>
      <c r="AD3" s="1"/>
      <c r="AE3" s="1"/>
      <c r="AF3" s="1"/>
      <c r="AG3" s="1"/>
    </row>
    <row r="4" spans="1:33" ht="15" thickBot="1" x14ac:dyDescent="0.35">
      <c r="A4">
        <f>'معلومات الطلاب'!A3</f>
        <v>1001</v>
      </c>
      <c r="B4" t="str">
        <f>'معلومات الطلاب'!B3</f>
        <v>سارة أحمد المحمد</v>
      </c>
      <c r="C4" t="str">
        <f>'معلومات الطلاب'!D4</f>
        <v>الخامس</v>
      </c>
      <c r="D4">
        <f>'معلومات الطلاب'!E4</f>
        <v>1</v>
      </c>
      <c r="E4" t="str">
        <f>'معلومات الطلاب'!F4</f>
        <v>رياضيات</v>
      </c>
      <c r="F4" s="2">
        <v>4</v>
      </c>
      <c r="G4" s="2">
        <v>5</v>
      </c>
      <c r="H4" s="2">
        <v>3</v>
      </c>
      <c r="I4" s="2">
        <v>5</v>
      </c>
      <c r="J4" s="2">
        <v>5</v>
      </c>
      <c r="K4" s="2">
        <v>5</v>
      </c>
      <c r="L4" s="2">
        <v>4</v>
      </c>
      <c r="M4" s="2">
        <v>5</v>
      </c>
      <c r="N4" s="2">
        <v>0</v>
      </c>
      <c r="O4">
        <v>0</v>
      </c>
      <c r="P4" s="2">
        <v>19</v>
      </c>
      <c r="Q4" s="4">
        <v>20</v>
      </c>
      <c r="R4" s="4">
        <v>18</v>
      </c>
      <c r="S4" s="5">
        <v>20</v>
      </c>
      <c r="T4" s="5">
        <v>0</v>
      </c>
      <c r="U4" s="5">
        <v>0</v>
      </c>
      <c r="V4" s="5">
        <v>35</v>
      </c>
      <c r="W4" s="6">
        <v>40</v>
      </c>
      <c r="X4">
        <f>F4+H4+J4+L4+N4+P4+R4+T4+V4</f>
        <v>88</v>
      </c>
      <c r="Y4">
        <f>G4+I4+K4+M4+O4+Q4+S4+U4+W4</f>
        <v>100</v>
      </c>
      <c r="Z4">
        <f>X4/Y4</f>
        <v>0.88</v>
      </c>
      <c r="AA4" t="str">
        <f>IF(Z4&gt;=0.9,"ممتاز",IF(Z4&gt;=0.8,"جيد جداً",IF(Z4&gt;=0.7,"جيد",IF(Z4&gt;=0.6,"مقبول","ضعيف"))))</f>
        <v>جيد جداً</v>
      </c>
      <c r="AB4" t="str">
        <f>IF(Z4&lt;0.6,"متعثر",IF(Z4&lt;0.8,"محتاج متابعة","لا يحتاج متابعة"))</f>
        <v>لا يحتاج متابعة</v>
      </c>
      <c r="AC4" t="str">
        <f>'معلومات الطلاب'!H3</f>
        <v>عام</v>
      </c>
    </row>
    <row r="5" spans="1:33" ht="15" thickBot="1" x14ac:dyDescent="0.35">
      <c r="A5">
        <f>'معلومات الطلاب'!A4</f>
        <v>1002</v>
      </c>
      <c r="B5" t="str">
        <f>'معلومات الطلاب'!B4</f>
        <v>نورة خالد العتيبي</v>
      </c>
      <c r="C5" t="str">
        <f>'معلومات الطلاب'!D5</f>
        <v>الخامس</v>
      </c>
      <c r="D5">
        <f>'معلومات الطلاب'!E5</f>
        <v>1</v>
      </c>
      <c r="E5" t="str">
        <f>'معلومات الطلاب'!F5</f>
        <v>رياضيات</v>
      </c>
      <c r="F5" s="2">
        <v>3</v>
      </c>
      <c r="G5" s="2">
        <v>5</v>
      </c>
      <c r="H5" s="2">
        <v>3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0</v>
      </c>
      <c r="O5">
        <v>0</v>
      </c>
      <c r="P5" s="2">
        <v>15</v>
      </c>
      <c r="Q5" s="4">
        <v>20</v>
      </c>
      <c r="R5" s="4">
        <v>13</v>
      </c>
      <c r="S5" s="5">
        <v>20</v>
      </c>
      <c r="T5" s="5">
        <v>0</v>
      </c>
      <c r="U5" s="5">
        <v>0</v>
      </c>
      <c r="V5" s="5">
        <v>33</v>
      </c>
      <c r="W5" s="6">
        <v>40</v>
      </c>
      <c r="X5">
        <f t="shared" ref="X5:X13" si="0">F5+H5+J5+L5+N5+P5+R5+T5+V5</f>
        <v>77</v>
      </c>
      <c r="Y5">
        <f t="shared" ref="Y5:Y13" si="1">G5+I5+K5+M5+O5+Q5+S5+U5+W5</f>
        <v>100</v>
      </c>
      <c r="Z5">
        <f t="shared" ref="Z5:Z13" si="2">X5/Y5</f>
        <v>0.77</v>
      </c>
      <c r="AA5" t="str">
        <f t="shared" ref="AA5:AA13" si="3">IF(Z5&gt;=0.9,"ممتاز",IF(Z5&gt;=0.8,"جيد جداً",IF(Z5&gt;=0.7,"جيد",IF(Z5&gt;=0.6,"مقبول","ضعيف"))))</f>
        <v>جيد</v>
      </c>
      <c r="AB5" t="str">
        <f t="shared" ref="AB5:AB13" si="4">IF(Z5&lt;0.6,"متعثر",IF(Z5&lt;0.8,"محتاج متابعة","لا يحتاج متابعة"))</f>
        <v>محتاج متابعة</v>
      </c>
      <c r="AC5" t="str">
        <f>'معلومات الطلاب'!H4</f>
        <v>تحفيظ</v>
      </c>
    </row>
    <row r="6" spans="1:33" ht="15" thickBot="1" x14ac:dyDescent="0.35">
      <c r="A6">
        <f>'معلومات الطلاب'!A5</f>
        <v>1003</v>
      </c>
      <c r="B6" t="str">
        <f>'معلومات الطلاب'!B5</f>
        <v>ريم عبد الله السبيعي</v>
      </c>
      <c r="C6" t="str">
        <f>'معلومات الطلاب'!D6</f>
        <v>الخامس</v>
      </c>
      <c r="D6">
        <f>'معلومات الطلاب'!E6</f>
        <v>2</v>
      </c>
      <c r="E6" t="str">
        <f>'معلومات الطلاب'!F6</f>
        <v>رياضيات</v>
      </c>
      <c r="F6" s="2">
        <v>1</v>
      </c>
      <c r="G6" s="2">
        <v>5</v>
      </c>
      <c r="H6" s="2">
        <v>3</v>
      </c>
      <c r="I6" s="2">
        <v>5</v>
      </c>
      <c r="J6" s="2">
        <v>2</v>
      </c>
      <c r="K6" s="2">
        <v>5</v>
      </c>
      <c r="L6" s="2">
        <v>2</v>
      </c>
      <c r="M6" s="2">
        <v>5</v>
      </c>
      <c r="N6" s="2">
        <v>0</v>
      </c>
      <c r="O6">
        <v>0</v>
      </c>
      <c r="P6" s="2">
        <v>8</v>
      </c>
      <c r="Q6" s="4">
        <v>20</v>
      </c>
      <c r="R6" s="4">
        <v>15</v>
      </c>
      <c r="S6" s="5">
        <v>20</v>
      </c>
      <c r="T6" s="5">
        <v>0</v>
      </c>
      <c r="U6" s="5">
        <v>0</v>
      </c>
      <c r="V6" s="5">
        <v>15</v>
      </c>
      <c r="W6" s="6">
        <v>40</v>
      </c>
      <c r="X6">
        <f t="shared" si="0"/>
        <v>46</v>
      </c>
      <c r="Y6">
        <f t="shared" si="1"/>
        <v>100</v>
      </c>
      <c r="Z6">
        <f t="shared" si="2"/>
        <v>0.46</v>
      </c>
      <c r="AA6" t="str">
        <f t="shared" si="3"/>
        <v>ضعيف</v>
      </c>
      <c r="AB6" t="str">
        <f t="shared" si="4"/>
        <v>متعثر</v>
      </c>
      <c r="AC6" t="str">
        <f>'معلومات الطلاب'!H5</f>
        <v>تحفيظ</v>
      </c>
    </row>
    <row r="7" spans="1:33" ht="15" thickBot="1" x14ac:dyDescent="0.35">
      <c r="A7">
        <f>'معلومات الطلاب'!A6</f>
        <v>1004</v>
      </c>
      <c r="B7" t="str">
        <f>'معلومات الطلاب'!B6</f>
        <v>شهد فهد القحطاني</v>
      </c>
      <c r="C7" t="str">
        <f>'معلومات الطلاب'!D7</f>
        <v>الخامس</v>
      </c>
      <c r="D7">
        <f>'معلومات الطلاب'!E7</f>
        <v>2</v>
      </c>
      <c r="E7" t="str">
        <f>'معلومات الطلاب'!F7</f>
        <v>رياضيات</v>
      </c>
      <c r="F7" s="2">
        <v>5</v>
      </c>
      <c r="G7" s="2">
        <v>5</v>
      </c>
      <c r="H7" s="2">
        <v>3</v>
      </c>
      <c r="I7" s="2">
        <v>5</v>
      </c>
      <c r="J7" s="2">
        <v>2</v>
      </c>
      <c r="K7" s="2">
        <v>5</v>
      </c>
      <c r="L7" s="2">
        <v>2</v>
      </c>
      <c r="M7" s="2">
        <v>5</v>
      </c>
      <c r="N7" s="2">
        <v>0</v>
      </c>
      <c r="O7">
        <v>0</v>
      </c>
      <c r="P7" s="2">
        <v>4</v>
      </c>
      <c r="Q7" s="4">
        <v>20</v>
      </c>
      <c r="R7" s="6">
        <v>10</v>
      </c>
      <c r="S7" s="5">
        <v>20</v>
      </c>
      <c r="T7" s="5">
        <v>0</v>
      </c>
      <c r="U7" s="5">
        <v>0</v>
      </c>
      <c r="V7" s="6">
        <v>33</v>
      </c>
      <c r="W7" s="6">
        <v>40</v>
      </c>
      <c r="X7">
        <f t="shared" si="0"/>
        <v>59</v>
      </c>
      <c r="Y7">
        <f t="shared" si="1"/>
        <v>100</v>
      </c>
      <c r="Z7">
        <f t="shared" si="2"/>
        <v>0.59</v>
      </c>
      <c r="AA7" t="str">
        <f t="shared" si="3"/>
        <v>ضعيف</v>
      </c>
      <c r="AB7" t="str">
        <f t="shared" si="4"/>
        <v>متعثر</v>
      </c>
      <c r="AC7" t="str">
        <f>'معلومات الطلاب'!H6</f>
        <v>عام</v>
      </c>
    </row>
    <row r="8" spans="1:33" ht="15" thickBot="1" x14ac:dyDescent="0.35">
      <c r="A8">
        <f>'معلومات الطلاب'!A7</f>
        <v>1005</v>
      </c>
      <c r="B8" t="str">
        <f>'معلومات الطلاب'!B7</f>
        <v>مريم علي الشهري</v>
      </c>
      <c r="C8" t="str">
        <f>'معلومات الطلاب'!D8</f>
        <v>السادس</v>
      </c>
      <c r="D8">
        <f>'معلومات الطلاب'!E8</f>
        <v>1</v>
      </c>
      <c r="E8" t="str">
        <f>'معلومات الطلاب'!F8</f>
        <v>علوم</v>
      </c>
      <c r="F8" s="2">
        <v>3</v>
      </c>
      <c r="G8" s="2">
        <v>5</v>
      </c>
      <c r="H8" s="2">
        <v>3</v>
      </c>
      <c r="I8" s="2">
        <v>5</v>
      </c>
      <c r="J8" s="2">
        <v>1</v>
      </c>
      <c r="K8" s="2">
        <v>5</v>
      </c>
      <c r="L8" s="2">
        <v>2</v>
      </c>
      <c r="M8" s="2">
        <v>5</v>
      </c>
      <c r="N8" s="2">
        <v>0</v>
      </c>
      <c r="O8">
        <v>0</v>
      </c>
      <c r="P8" s="2">
        <v>13</v>
      </c>
      <c r="Q8" s="4">
        <v>20</v>
      </c>
      <c r="R8" s="6">
        <v>18</v>
      </c>
      <c r="S8" s="5">
        <v>20</v>
      </c>
      <c r="T8" s="5">
        <v>0</v>
      </c>
      <c r="U8" s="5">
        <v>0</v>
      </c>
      <c r="V8" s="6">
        <v>33</v>
      </c>
      <c r="W8" s="6">
        <v>40</v>
      </c>
      <c r="X8">
        <f t="shared" si="0"/>
        <v>73</v>
      </c>
      <c r="Y8">
        <f t="shared" si="1"/>
        <v>100</v>
      </c>
      <c r="Z8">
        <f t="shared" si="2"/>
        <v>0.73</v>
      </c>
      <c r="AA8" t="str">
        <f t="shared" si="3"/>
        <v>جيد</v>
      </c>
      <c r="AB8" t="str">
        <f t="shared" si="4"/>
        <v>محتاج متابعة</v>
      </c>
      <c r="AC8" t="str">
        <f>'معلومات الطلاب'!H7</f>
        <v>تحفيظ</v>
      </c>
    </row>
    <row r="9" spans="1:33" ht="15" thickBot="1" x14ac:dyDescent="0.35">
      <c r="A9">
        <f>'معلومات الطلاب'!A8</f>
        <v>1006</v>
      </c>
      <c r="B9" t="str">
        <f>'معلومات الطلاب'!B8</f>
        <v>أروى محمد الدوسري</v>
      </c>
      <c r="C9" t="str">
        <f>'معلومات الطلاب'!D9</f>
        <v>السادس</v>
      </c>
      <c r="D9">
        <f>'معلومات الطلاب'!E9</f>
        <v>1</v>
      </c>
      <c r="E9" t="str">
        <f>'معلومات الطلاب'!F9</f>
        <v>علوم</v>
      </c>
      <c r="F9" s="2">
        <v>1</v>
      </c>
      <c r="G9" s="2">
        <v>5</v>
      </c>
      <c r="H9" s="2">
        <v>3</v>
      </c>
      <c r="I9" s="2">
        <v>5</v>
      </c>
      <c r="J9" s="2">
        <v>3</v>
      </c>
      <c r="K9" s="2">
        <v>5</v>
      </c>
      <c r="L9" s="2">
        <v>2</v>
      </c>
      <c r="M9" s="2">
        <v>5</v>
      </c>
      <c r="N9" s="2">
        <v>0</v>
      </c>
      <c r="O9">
        <v>0</v>
      </c>
      <c r="P9" s="2">
        <v>18</v>
      </c>
      <c r="Q9" s="4">
        <v>20</v>
      </c>
      <c r="R9" s="6">
        <v>5</v>
      </c>
      <c r="S9" s="5">
        <v>20</v>
      </c>
      <c r="T9" s="5">
        <v>0</v>
      </c>
      <c r="U9" s="5">
        <v>0</v>
      </c>
      <c r="V9" s="6">
        <v>33</v>
      </c>
      <c r="W9" s="6">
        <v>40</v>
      </c>
      <c r="X9">
        <f t="shared" si="0"/>
        <v>65</v>
      </c>
      <c r="Y9">
        <f t="shared" si="1"/>
        <v>100</v>
      </c>
      <c r="Z9">
        <f t="shared" si="2"/>
        <v>0.65</v>
      </c>
      <c r="AA9" t="str">
        <f t="shared" si="3"/>
        <v>مقبول</v>
      </c>
      <c r="AB9" t="str">
        <f t="shared" si="4"/>
        <v>محتاج متابعة</v>
      </c>
      <c r="AC9" t="str">
        <f>'معلومات الطلاب'!H8</f>
        <v>تحفيظ</v>
      </c>
    </row>
    <row r="10" spans="1:33" ht="15" thickBot="1" x14ac:dyDescent="0.35">
      <c r="A10">
        <f>'معلومات الطلاب'!A9</f>
        <v>1007</v>
      </c>
      <c r="B10" t="str">
        <f>'معلومات الطلاب'!B9</f>
        <v>لجين حمد العبد الله</v>
      </c>
      <c r="C10" t="str">
        <f>'معلومات الطلاب'!D10</f>
        <v>السادس</v>
      </c>
      <c r="D10">
        <f>'معلومات الطلاب'!E10</f>
        <v>1</v>
      </c>
      <c r="E10" t="str">
        <f>'معلومات الطلاب'!F10</f>
        <v>علوم</v>
      </c>
      <c r="F10" s="2">
        <v>1</v>
      </c>
      <c r="G10" s="2">
        <v>5</v>
      </c>
      <c r="H10" s="2">
        <v>3</v>
      </c>
      <c r="I10" s="2">
        <v>5</v>
      </c>
      <c r="J10" s="2">
        <v>3</v>
      </c>
      <c r="K10" s="2">
        <v>5</v>
      </c>
      <c r="L10" s="2">
        <v>2</v>
      </c>
      <c r="M10" s="2">
        <v>5</v>
      </c>
      <c r="N10" s="2">
        <v>0</v>
      </c>
      <c r="O10">
        <v>0</v>
      </c>
      <c r="P10" s="2">
        <v>16</v>
      </c>
      <c r="Q10" s="4">
        <v>20</v>
      </c>
      <c r="R10" s="6">
        <v>11</v>
      </c>
      <c r="S10" s="5">
        <v>20</v>
      </c>
      <c r="T10" s="5">
        <v>0</v>
      </c>
      <c r="U10" s="5">
        <v>0</v>
      </c>
      <c r="V10" s="6">
        <v>33</v>
      </c>
      <c r="W10" s="6">
        <v>40</v>
      </c>
      <c r="X10">
        <f t="shared" si="0"/>
        <v>69</v>
      </c>
      <c r="Y10">
        <f t="shared" si="1"/>
        <v>100</v>
      </c>
      <c r="Z10">
        <f t="shared" si="2"/>
        <v>0.69</v>
      </c>
      <c r="AA10" t="str">
        <f t="shared" si="3"/>
        <v>مقبول</v>
      </c>
      <c r="AB10" t="str">
        <f t="shared" si="4"/>
        <v>محتاج متابعة</v>
      </c>
      <c r="AC10" t="str">
        <f>'معلومات الطلاب'!H9</f>
        <v>تحفيظ</v>
      </c>
    </row>
    <row r="11" spans="1:33" ht="15" thickBot="1" x14ac:dyDescent="0.35">
      <c r="A11">
        <f>'معلومات الطلاب'!A10</f>
        <v>1008</v>
      </c>
      <c r="B11" t="str">
        <f>'معلومات الطلاب'!B10</f>
        <v>جود سلطان العتيبي</v>
      </c>
      <c r="C11" t="str">
        <f>'معلومات الطلاب'!D11</f>
        <v>السادس</v>
      </c>
      <c r="D11">
        <f>'معلومات الطلاب'!E11</f>
        <v>2</v>
      </c>
      <c r="E11" t="str">
        <f>'معلومات الطلاب'!F11</f>
        <v>علوم</v>
      </c>
      <c r="F11" s="2">
        <v>4</v>
      </c>
      <c r="G11" s="2">
        <v>5</v>
      </c>
      <c r="H11" s="2">
        <v>3</v>
      </c>
      <c r="I11" s="2">
        <v>5</v>
      </c>
      <c r="J11" s="2">
        <v>3</v>
      </c>
      <c r="K11" s="2">
        <v>5</v>
      </c>
      <c r="L11" s="2">
        <v>2</v>
      </c>
      <c r="M11" s="2">
        <v>5</v>
      </c>
      <c r="N11" s="2">
        <v>0</v>
      </c>
      <c r="O11">
        <v>0</v>
      </c>
      <c r="P11" s="2">
        <v>3</v>
      </c>
      <c r="Q11" s="4">
        <v>20</v>
      </c>
      <c r="R11" s="6">
        <v>20</v>
      </c>
      <c r="S11" s="5">
        <v>20</v>
      </c>
      <c r="T11" s="5">
        <v>0</v>
      </c>
      <c r="U11" s="5">
        <v>0</v>
      </c>
      <c r="V11" s="6">
        <v>33</v>
      </c>
      <c r="W11" s="6">
        <v>40</v>
      </c>
      <c r="X11">
        <f t="shared" si="0"/>
        <v>68</v>
      </c>
      <c r="Y11">
        <f t="shared" si="1"/>
        <v>100</v>
      </c>
      <c r="Z11">
        <f t="shared" si="2"/>
        <v>0.68</v>
      </c>
      <c r="AA11" t="str">
        <f t="shared" si="3"/>
        <v>مقبول</v>
      </c>
      <c r="AB11" t="str">
        <f t="shared" si="4"/>
        <v>محتاج متابعة</v>
      </c>
      <c r="AC11" t="str">
        <f>'معلومات الطلاب'!H10</f>
        <v>تحفيظ</v>
      </c>
    </row>
    <row r="12" spans="1:33" ht="15" thickBot="1" x14ac:dyDescent="0.35">
      <c r="A12">
        <f>'معلومات الطلاب'!A11</f>
        <v>1009</v>
      </c>
      <c r="B12" t="str">
        <f>'معلومات الطلاب'!B11</f>
        <v>حلا يوسف المطر</v>
      </c>
      <c r="C12" t="str">
        <f>'معلومات الطلاب'!D12</f>
        <v>السادس</v>
      </c>
      <c r="D12">
        <f>'معلومات الطلاب'!E12</f>
        <v>2</v>
      </c>
      <c r="E12" t="str">
        <f>'معلومات الطلاب'!F12</f>
        <v>علوم</v>
      </c>
      <c r="F12" s="2">
        <v>2</v>
      </c>
      <c r="G12" s="2">
        <v>5</v>
      </c>
      <c r="H12" s="2">
        <v>3</v>
      </c>
      <c r="I12" s="2">
        <v>5</v>
      </c>
      <c r="J12" s="2">
        <v>3</v>
      </c>
      <c r="K12" s="2">
        <v>5</v>
      </c>
      <c r="L12" s="2">
        <v>2</v>
      </c>
      <c r="M12" s="2">
        <v>5</v>
      </c>
      <c r="N12" s="2">
        <v>0</v>
      </c>
      <c r="O12">
        <v>0</v>
      </c>
      <c r="P12" s="2">
        <v>6</v>
      </c>
      <c r="Q12" s="4">
        <v>20</v>
      </c>
      <c r="R12" s="6">
        <v>13</v>
      </c>
      <c r="S12" s="5">
        <v>20</v>
      </c>
      <c r="T12" s="5">
        <v>0</v>
      </c>
      <c r="U12" s="5">
        <v>0</v>
      </c>
      <c r="V12" s="6">
        <v>33</v>
      </c>
      <c r="W12" s="6">
        <v>40</v>
      </c>
      <c r="X12">
        <f t="shared" si="0"/>
        <v>62</v>
      </c>
      <c r="Y12">
        <f t="shared" si="1"/>
        <v>100</v>
      </c>
      <c r="Z12">
        <f t="shared" si="2"/>
        <v>0.62</v>
      </c>
      <c r="AA12" t="str">
        <f t="shared" si="3"/>
        <v>مقبول</v>
      </c>
      <c r="AB12" t="str">
        <f t="shared" si="4"/>
        <v>محتاج متابعة</v>
      </c>
      <c r="AC12" t="str">
        <f>'معلومات الطلاب'!H11</f>
        <v>تحفيظ</v>
      </c>
    </row>
    <row r="13" spans="1:33" ht="15" thickBot="1" x14ac:dyDescent="0.35">
      <c r="A13">
        <f>'معلومات الطلاب'!A12</f>
        <v>1010</v>
      </c>
      <c r="B13" t="str">
        <f>'معلومات الطلاب'!B12</f>
        <v>غادة إبراهيم الزهراني</v>
      </c>
      <c r="C13" t="str">
        <f>'معلومات الطلاب'!D13</f>
        <v>السادس</v>
      </c>
      <c r="D13">
        <f>'معلومات الطلاب'!E13</f>
        <v>2</v>
      </c>
      <c r="E13" t="str">
        <f>'معلومات الطلاب'!F13</f>
        <v>علوم</v>
      </c>
      <c r="F13" s="2">
        <v>5</v>
      </c>
      <c r="G13" s="2">
        <v>5</v>
      </c>
      <c r="H13" s="2">
        <v>3</v>
      </c>
      <c r="I13" s="2">
        <v>5</v>
      </c>
      <c r="J13" s="2">
        <v>3</v>
      </c>
      <c r="K13" s="2">
        <v>5</v>
      </c>
      <c r="L13" s="2">
        <v>2</v>
      </c>
      <c r="M13" s="2">
        <v>5</v>
      </c>
      <c r="N13" s="2">
        <v>0</v>
      </c>
      <c r="O13">
        <v>0</v>
      </c>
      <c r="P13" s="2">
        <v>11</v>
      </c>
      <c r="Q13" s="4">
        <v>20</v>
      </c>
      <c r="R13" s="6">
        <v>15</v>
      </c>
      <c r="S13" s="5">
        <v>20</v>
      </c>
      <c r="T13" s="5">
        <v>0</v>
      </c>
      <c r="U13" s="5">
        <v>0</v>
      </c>
      <c r="V13" s="6">
        <v>33</v>
      </c>
      <c r="W13" s="6">
        <v>40</v>
      </c>
      <c r="X13">
        <f t="shared" si="0"/>
        <v>72</v>
      </c>
      <c r="Y13">
        <f t="shared" si="1"/>
        <v>100</v>
      </c>
      <c r="Z13">
        <f t="shared" si="2"/>
        <v>0.72</v>
      </c>
      <c r="AA13" t="str">
        <f t="shared" si="3"/>
        <v>جيد</v>
      </c>
      <c r="AB13" t="str">
        <f t="shared" si="4"/>
        <v>محتاج متابعة</v>
      </c>
      <c r="AC13" t="str">
        <f>'معلومات الطلاب'!H12</f>
        <v>عام</v>
      </c>
    </row>
    <row r="14" spans="1:33" ht="15" thickBot="1" x14ac:dyDescent="0.35">
      <c r="A14">
        <f>'معلومات الطلاب'!A13</f>
        <v>1011</v>
      </c>
      <c r="B14" t="str">
        <f>'معلومات الطلاب'!B13</f>
        <v>نوهان ثروت علي</v>
      </c>
      <c r="C14" t="str">
        <f>'معلومات الطلاب'!D14</f>
        <v>السادس</v>
      </c>
      <c r="D14">
        <f>'معلومات الطلاب'!E14</f>
        <v>1</v>
      </c>
      <c r="E14" t="str">
        <f>'معلومات الطلاب'!F14</f>
        <v>لغتي</v>
      </c>
      <c r="F14" s="2">
        <v>5</v>
      </c>
      <c r="G14" s="2">
        <v>5</v>
      </c>
      <c r="H14" s="2">
        <v>3</v>
      </c>
      <c r="I14" s="2">
        <v>5</v>
      </c>
      <c r="J14" s="2">
        <v>3</v>
      </c>
      <c r="K14" s="2">
        <v>5</v>
      </c>
      <c r="L14" s="2">
        <v>2</v>
      </c>
      <c r="M14" s="2">
        <v>5</v>
      </c>
      <c r="N14" s="2">
        <v>0</v>
      </c>
      <c r="O14">
        <v>0</v>
      </c>
      <c r="P14" s="2">
        <v>11</v>
      </c>
      <c r="Q14" s="4">
        <v>20</v>
      </c>
      <c r="R14" s="6">
        <v>15</v>
      </c>
      <c r="S14" s="5">
        <v>20</v>
      </c>
      <c r="T14" s="5">
        <v>0</v>
      </c>
      <c r="U14" s="5">
        <v>0</v>
      </c>
      <c r="V14" s="6">
        <v>33</v>
      </c>
      <c r="W14" s="6">
        <v>40</v>
      </c>
      <c r="X14">
        <f t="shared" ref="X14" si="5">F14+H14+J14+L14+N14+P14+R14+T14+V14</f>
        <v>72</v>
      </c>
      <c r="Y14">
        <f t="shared" ref="Y14" si="6">G14+I14+K14+M14+O14+Q14+S14+U14+W14</f>
        <v>100</v>
      </c>
      <c r="Z14">
        <f t="shared" ref="Z14" si="7">X14/Y14</f>
        <v>0.72</v>
      </c>
      <c r="AA14" t="str">
        <f t="shared" ref="AA14" si="8">IF(Z14&gt;=0.9,"ممتاز",IF(Z14&gt;=0.8,"جيد جداً",IF(Z14&gt;=0.7,"جيد",IF(Z14&gt;=0.6,"مقبول","ضعيف"))))</f>
        <v>جيد</v>
      </c>
      <c r="AB14" t="str">
        <f t="shared" ref="AB14" si="9">IF(Z14&lt;0.6,"متعثر",IF(Z14&lt;0.8,"محتاج متابعة","لا يحتاج متابعة"))</f>
        <v>محتاج متابعة</v>
      </c>
      <c r="AC14" t="str">
        <f>'معلومات الطلاب'!H13</f>
        <v>عام</v>
      </c>
    </row>
    <row r="15" spans="1:33" x14ac:dyDescent="0.3">
      <c r="A15">
        <f>'معلومات الطلاب'!A14</f>
        <v>1012</v>
      </c>
      <c r="B15" t="str">
        <f>'معلومات الطلاب'!B14</f>
        <v>سلمى محمد على يوسف</v>
      </c>
      <c r="AC15" t="str">
        <f>'معلومات الطلاب'!H14</f>
        <v>عام</v>
      </c>
    </row>
    <row r="16" spans="1:33" x14ac:dyDescent="0.3">
      <c r="AC16">
        <f>'معلومات الطلاب'!H15</f>
        <v>0</v>
      </c>
    </row>
    <row r="17" spans="14:29" x14ac:dyDescent="0.3">
      <c r="AC17">
        <f>'معلومات الطلاب'!H16</f>
        <v>0</v>
      </c>
    </row>
    <row r="18" spans="14:29" x14ac:dyDescent="0.3">
      <c r="AC18">
        <f>'معلومات الطلاب'!H17</f>
        <v>0</v>
      </c>
    </row>
    <row r="19" spans="14:29" x14ac:dyDescent="0.3">
      <c r="AC19">
        <f>'معلومات الطلاب'!H18</f>
        <v>0</v>
      </c>
    </row>
    <row r="20" spans="14:29" x14ac:dyDescent="0.3">
      <c r="AC20">
        <f>'معلومات الطلاب'!H19</f>
        <v>0</v>
      </c>
    </row>
    <row r="21" spans="14:29" x14ac:dyDescent="0.3">
      <c r="AC21">
        <f>'معلومات الطلاب'!H20</f>
        <v>0</v>
      </c>
    </row>
    <row r="22" spans="14:29" x14ac:dyDescent="0.3">
      <c r="AC22">
        <f>'معلومات الطلاب'!H21</f>
        <v>0</v>
      </c>
    </row>
    <row r="23" spans="14:29" x14ac:dyDescent="0.3">
      <c r="AC23">
        <f>'معلومات الطلاب'!H22</f>
        <v>0</v>
      </c>
    </row>
    <row r="24" spans="14:29" x14ac:dyDescent="0.3">
      <c r="AC24">
        <f>'معلومات الطلاب'!H23</f>
        <v>0</v>
      </c>
    </row>
    <row r="25" spans="14:29" x14ac:dyDescent="0.3">
      <c r="AC25">
        <f>'معلومات الطلاب'!H24</f>
        <v>0</v>
      </c>
    </row>
    <row r="26" spans="14:29" ht="15" thickBot="1" x14ac:dyDescent="0.35">
      <c r="AC26">
        <f>'معلومات الطلاب'!H25</f>
        <v>0</v>
      </c>
    </row>
    <row r="27" spans="14:29" ht="15" thickBot="1" x14ac:dyDescent="0.35">
      <c r="N27" s="1"/>
      <c r="O27" s="1"/>
      <c r="P27" s="1"/>
      <c r="Q27" s="1"/>
      <c r="R27" s="1"/>
      <c r="S27" s="1"/>
      <c r="T27" s="1"/>
      <c r="U27" s="1"/>
      <c r="V27" s="1"/>
      <c r="W27" s="1"/>
      <c r="AC27">
        <f>'معلومات الطلاب'!H26</f>
        <v>0</v>
      </c>
    </row>
    <row r="28" spans="14:29" ht="15" thickBot="1" x14ac:dyDescent="0.35">
      <c r="N28" s="2"/>
      <c r="O28" s="2"/>
      <c r="P28" s="2"/>
      <c r="Q28" s="2"/>
      <c r="R28" s="2"/>
      <c r="S28" s="2"/>
      <c r="T28" s="2"/>
      <c r="U28" s="2"/>
      <c r="V28" s="2"/>
      <c r="W28" s="2"/>
      <c r="AC28">
        <f>'معلومات الطلاب'!H27</f>
        <v>0</v>
      </c>
    </row>
    <row r="29" spans="14:29" ht="15" thickBot="1" x14ac:dyDescent="0.35">
      <c r="N29" s="2"/>
      <c r="O29" s="2"/>
      <c r="P29" s="2"/>
      <c r="Q29" s="2"/>
      <c r="R29" s="2"/>
      <c r="S29" s="2"/>
      <c r="T29" s="2"/>
      <c r="U29" s="2"/>
      <c r="V29" s="2"/>
      <c r="W29" s="2"/>
      <c r="AC29">
        <f>'معلومات الطلاب'!H28</f>
        <v>0</v>
      </c>
    </row>
    <row r="30" spans="14:29" ht="15" thickBot="1" x14ac:dyDescent="0.35">
      <c r="N30" s="2"/>
      <c r="O30" s="2"/>
      <c r="P30" s="2"/>
      <c r="Q30" s="2"/>
      <c r="R30" s="2"/>
      <c r="S30" s="2"/>
      <c r="T30" s="2"/>
      <c r="U30" s="2"/>
      <c r="V30" s="2"/>
      <c r="W30" s="2"/>
      <c r="AC30">
        <f>'معلومات الطلاب'!H29</f>
        <v>0</v>
      </c>
    </row>
    <row r="31" spans="14:29" ht="15" thickBot="1" x14ac:dyDescent="0.35">
      <c r="N31" s="2"/>
      <c r="O31" s="2"/>
      <c r="P31" s="2"/>
      <c r="Q31" s="2"/>
      <c r="R31" s="2"/>
      <c r="S31" s="2"/>
      <c r="T31" s="2"/>
      <c r="U31" s="2"/>
      <c r="V31" s="2"/>
      <c r="W31" s="2"/>
      <c r="AC31">
        <f>'معلومات الطلاب'!H30</f>
        <v>0</v>
      </c>
    </row>
    <row r="32" spans="14:29" ht="15" thickBot="1" x14ac:dyDescent="0.35">
      <c r="N32" s="2"/>
      <c r="O32" s="2"/>
      <c r="P32" s="2"/>
      <c r="Q32" s="2"/>
      <c r="R32" s="2"/>
      <c r="S32" s="2"/>
      <c r="T32" s="2"/>
      <c r="U32" s="2"/>
      <c r="V32" s="2"/>
      <c r="W32" s="2"/>
      <c r="AC32">
        <f>'معلومات الطلاب'!H31</f>
        <v>0</v>
      </c>
    </row>
    <row r="33" spans="14:29" ht="15" thickBot="1" x14ac:dyDescent="0.35">
      <c r="N33" s="2"/>
      <c r="O33" s="2"/>
      <c r="P33" s="2"/>
      <c r="Q33" s="2"/>
      <c r="R33" s="2"/>
      <c r="S33" s="2"/>
      <c r="T33" s="2"/>
      <c r="U33" s="2"/>
      <c r="V33" s="2"/>
      <c r="W33" s="2"/>
      <c r="AC33">
        <f>'معلومات الطلاب'!H32</f>
        <v>0</v>
      </c>
    </row>
    <row r="34" spans="14:29" ht="15" thickBot="1" x14ac:dyDescent="0.35">
      <c r="N34" s="2"/>
      <c r="O34" s="2"/>
      <c r="P34" s="2"/>
      <c r="Q34" s="2"/>
      <c r="R34" s="2"/>
      <c r="S34" s="2"/>
      <c r="T34" s="2"/>
      <c r="U34" s="2"/>
      <c r="V34" s="2"/>
      <c r="W34" s="2"/>
      <c r="AC34">
        <f>'معلومات الطلاب'!H33</f>
        <v>0</v>
      </c>
    </row>
    <row r="35" spans="14:29" ht="15" thickBot="1" x14ac:dyDescent="0.35">
      <c r="N35" s="2"/>
      <c r="O35" s="2"/>
      <c r="P35" s="2"/>
      <c r="Q35" s="2"/>
      <c r="R35" s="2"/>
      <c r="S35" s="2"/>
      <c r="T35" s="2"/>
      <c r="U35" s="2"/>
      <c r="V35" s="2"/>
      <c r="W35" s="2"/>
      <c r="AC35">
        <f>'معلومات الطلاب'!H34</f>
        <v>0</v>
      </c>
    </row>
    <row r="36" spans="14:29" ht="15" thickBot="1" x14ac:dyDescent="0.35">
      <c r="N36" s="2"/>
      <c r="O36" s="2"/>
      <c r="P36" s="2"/>
      <c r="Q36" s="2"/>
      <c r="R36" s="2"/>
      <c r="S36" s="2"/>
      <c r="T36" s="2"/>
      <c r="U36" s="2"/>
      <c r="V36" s="2"/>
      <c r="W36" s="2"/>
      <c r="AC36">
        <f>'معلومات الطلاب'!H35</f>
        <v>0</v>
      </c>
    </row>
    <row r="37" spans="14:29" ht="15" thickBot="1" x14ac:dyDescent="0.35">
      <c r="N37" s="2"/>
      <c r="O37" s="2"/>
      <c r="P37" s="2"/>
      <c r="Q37" s="2"/>
      <c r="R37" s="2"/>
      <c r="S37" s="2"/>
      <c r="T37" s="2"/>
      <c r="U37" s="2"/>
      <c r="V37" s="2"/>
      <c r="W37" s="2"/>
      <c r="AC37">
        <f>'معلومات الطلاب'!H36</f>
        <v>0</v>
      </c>
    </row>
    <row r="38" spans="14:29" x14ac:dyDescent="0.3">
      <c r="AC38">
        <f>'معلومات الطلاب'!H37</f>
        <v>0</v>
      </c>
    </row>
    <row r="39" spans="14:29" x14ac:dyDescent="0.3">
      <c r="AC39">
        <f>'معلومات الطلاب'!H38</f>
        <v>0</v>
      </c>
    </row>
    <row r="40" spans="14:29" x14ac:dyDescent="0.3">
      <c r="AC40">
        <f>'معلومات الطلاب'!H39</f>
        <v>0</v>
      </c>
    </row>
    <row r="41" spans="14:29" x14ac:dyDescent="0.3">
      <c r="AC41">
        <f>'معلومات الطلاب'!H40</f>
        <v>0</v>
      </c>
    </row>
    <row r="42" spans="14:29" x14ac:dyDescent="0.3">
      <c r="AC42">
        <f>'معلومات الطلاب'!H41</f>
        <v>0</v>
      </c>
    </row>
    <row r="43" spans="14:29" x14ac:dyDescent="0.3">
      <c r="AC43">
        <f>'معلومات الطلاب'!H42</f>
        <v>0</v>
      </c>
    </row>
    <row r="44" spans="14:29" x14ac:dyDescent="0.3">
      <c r="AC44">
        <f>'معلومات الطلاب'!H43</f>
        <v>0</v>
      </c>
    </row>
    <row r="45" spans="14:29" x14ac:dyDescent="0.3">
      <c r="AC45">
        <f>'معلومات الطلاب'!H44</f>
        <v>0</v>
      </c>
    </row>
    <row r="46" spans="14:29" x14ac:dyDescent="0.3">
      <c r="AC46">
        <f>'معلومات الطلاب'!H45</f>
        <v>0</v>
      </c>
    </row>
    <row r="47" spans="14:29" x14ac:dyDescent="0.3">
      <c r="AC47">
        <f>'معلومات الطلاب'!H46</f>
        <v>0</v>
      </c>
    </row>
    <row r="48" spans="14:29" x14ac:dyDescent="0.3">
      <c r="AC48">
        <f>'معلومات الطلاب'!H47</f>
        <v>0</v>
      </c>
    </row>
    <row r="49" spans="29:29" x14ac:dyDescent="0.3">
      <c r="AC49">
        <f>'معلومات الطلاب'!H48</f>
        <v>0</v>
      </c>
    </row>
    <row r="50" spans="29:29" x14ac:dyDescent="0.3">
      <c r="AC50">
        <f>'معلومات الطلاب'!H49</f>
        <v>0</v>
      </c>
    </row>
    <row r="51" spans="29:29" x14ac:dyDescent="0.3">
      <c r="AC51">
        <f>'معلومات الطلاب'!H50</f>
        <v>0</v>
      </c>
    </row>
    <row r="52" spans="29:29" x14ac:dyDescent="0.3">
      <c r="AC52">
        <f>'معلومات الطلاب'!H51</f>
        <v>0</v>
      </c>
    </row>
    <row r="53" spans="29:29" x14ac:dyDescent="0.3">
      <c r="AC53">
        <f>'معلومات الطلاب'!H52</f>
        <v>0</v>
      </c>
    </row>
    <row r="54" spans="29:29" x14ac:dyDescent="0.3">
      <c r="AC54">
        <f>'معلومات الطلاب'!H53</f>
        <v>0</v>
      </c>
    </row>
    <row r="55" spans="29:29" x14ac:dyDescent="0.3">
      <c r="AC55">
        <f>'معلومات الطلاب'!H54</f>
        <v>0</v>
      </c>
    </row>
    <row r="56" spans="29:29" x14ac:dyDescent="0.3">
      <c r="AC56">
        <f>'معلومات الطلاب'!H55</f>
        <v>0</v>
      </c>
    </row>
    <row r="57" spans="29:29" x14ac:dyDescent="0.3">
      <c r="AC57">
        <f>'معلومات الطلاب'!H56</f>
        <v>0</v>
      </c>
    </row>
    <row r="58" spans="29:29" x14ac:dyDescent="0.3">
      <c r="AC58">
        <f>'معلومات الطلاب'!H57</f>
        <v>0</v>
      </c>
    </row>
    <row r="59" spans="29:29" x14ac:dyDescent="0.3">
      <c r="AC59">
        <f>'معلومات الطلاب'!H58</f>
        <v>0</v>
      </c>
    </row>
    <row r="60" spans="29:29" x14ac:dyDescent="0.3">
      <c r="AC60">
        <f>'معلومات الطلاب'!H59</f>
        <v>0</v>
      </c>
    </row>
    <row r="61" spans="29:29" x14ac:dyDescent="0.3">
      <c r="AC61">
        <f>'معلومات الطلاب'!H60</f>
        <v>0</v>
      </c>
    </row>
    <row r="62" spans="29:29" x14ac:dyDescent="0.3">
      <c r="AC62">
        <f>'معلومات الطلاب'!H61</f>
        <v>0</v>
      </c>
    </row>
    <row r="63" spans="29:29" x14ac:dyDescent="0.3">
      <c r="AC63">
        <f>'معلومات الطلاب'!H62</f>
        <v>0</v>
      </c>
    </row>
    <row r="64" spans="29:29" x14ac:dyDescent="0.3">
      <c r="AC64">
        <f>'معلومات الطلاب'!H63</f>
        <v>0</v>
      </c>
    </row>
    <row r="65" spans="29:29" x14ac:dyDescent="0.3">
      <c r="AC65">
        <f>'معلومات الطلاب'!H64</f>
        <v>0</v>
      </c>
    </row>
    <row r="66" spans="29:29" x14ac:dyDescent="0.3">
      <c r="AC66">
        <f>'معلومات الطلاب'!H65</f>
        <v>0</v>
      </c>
    </row>
    <row r="67" spans="29:29" x14ac:dyDescent="0.3">
      <c r="AC67">
        <f>'معلومات الطلاب'!H66</f>
        <v>0</v>
      </c>
    </row>
    <row r="68" spans="29:29" x14ac:dyDescent="0.3">
      <c r="AC68">
        <f>'معلومات الطلاب'!H67</f>
        <v>0</v>
      </c>
    </row>
    <row r="69" spans="29:29" x14ac:dyDescent="0.3">
      <c r="AC69">
        <f>'معلومات الطلاب'!H68</f>
        <v>0</v>
      </c>
    </row>
    <row r="70" spans="29:29" x14ac:dyDescent="0.3">
      <c r="AC70">
        <f>'معلومات الطلاب'!H69</f>
        <v>0</v>
      </c>
    </row>
    <row r="71" spans="29:29" x14ac:dyDescent="0.3">
      <c r="AC71">
        <f>'معلومات الطلاب'!H70</f>
        <v>0</v>
      </c>
    </row>
    <row r="72" spans="29:29" x14ac:dyDescent="0.3">
      <c r="AC72">
        <f>'معلومات الطلاب'!H71</f>
        <v>0</v>
      </c>
    </row>
    <row r="73" spans="29:29" x14ac:dyDescent="0.3">
      <c r="AC73">
        <f>'معلومات الطلاب'!H72</f>
        <v>0</v>
      </c>
    </row>
    <row r="74" spans="29:29" x14ac:dyDescent="0.3">
      <c r="AC74">
        <f>'معلومات الطلاب'!H73</f>
        <v>0</v>
      </c>
    </row>
    <row r="75" spans="29:29" x14ac:dyDescent="0.3">
      <c r="AC75">
        <f>'معلومات الطلاب'!H74</f>
        <v>0</v>
      </c>
    </row>
    <row r="76" spans="29:29" x14ac:dyDescent="0.3">
      <c r="AC76">
        <f>'معلومات الطلاب'!H75</f>
        <v>0</v>
      </c>
    </row>
    <row r="77" spans="29:29" x14ac:dyDescent="0.3">
      <c r="AC77">
        <f>'معلومات الطلاب'!H76</f>
        <v>0</v>
      </c>
    </row>
    <row r="78" spans="29:29" x14ac:dyDescent="0.3">
      <c r="AC78">
        <f>'معلومات الطلاب'!H77</f>
        <v>0</v>
      </c>
    </row>
    <row r="79" spans="29:29" x14ac:dyDescent="0.3">
      <c r="AC79">
        <f>'معلومات الطلاب'!H78</f>
        <v>0</v>
      </c>
    </row>
    <row r="80" spans="29:29" x14ac:dyDescent="0.3">
      <c r="AC80">
        <f>'معلومات الطلاب'!H79</f>
        <v>0</v>
      </c>
    </row>
    <row r="81" spans="29:29" x14ac:dyDescent="0.3">
      <c r="AC81">
        <f>'معلومات الطلاب'!H80</f>
        <v>0</v>
      </c>
    </row>
    <row r="82" spans="29:29" x14ac:dyDescent="0.3">
      <c r="AC82">
        <f>'معلومات الطلاب'!H81</f>
        <v>0</v>
      </c>
    </row>
    <row r="83" spans="29:29" x14ac:dyDescent="0.3">
      <c r="AC83">
        <f>'معلومات الطلاب'!H82</f>
        <v>0</v>
      </c>
    </row>
    <row r="84" spans="29:29" x14ac:dyDescent="0.3">
      <c r="AC84">
        <f>'معلومات الطلاب'!H83</f>
        <v>0</v>
      </c>
    </row>
    <row r="85" spans="29:29" x14ac:dyDescent="0.3">
      <c r="AC85">
        <f>'معلومات الطلاب'!H84</f>
        <v>0</v>
      </c>
    </row>
    <row r="86" spans="29:29" x14ac:dyDescent="0.3">
      <c r="AC86">
        <f>'معلومات الطلاب'!H85</f>
        <v>0</v>
      </c>
    </row>
    <row r="87" spans="29:29" x14ac:dyDescent="0.3">
      <c r="AC87">
        <f>'معلومات الطلاب'!H86</f>
        <v>0</v>
      </c>
    </row>
    <row r="88" spans="29:29" x14ac:dyDescent="0.3">
      <c r="AC88">
        <f>'معلومات الطلاب'!H87</f>
        <v>0</v>
      </c>
    </row>
    <row r="89" spans="29:29" x14ac:dyDescent="0.3">
      <c r="AC89">
        <f>'معلومات الطلاب'!H88</f>
        <v>0</v>
      </c>
    </row>
    <row r="90" spans="29:29" x14ac:dyDescent="0.3">
      <c r="AC90">
        <f>'معلومات الطلاب'!H89</f>
        <v>0</v>
      </c>
    </row>
    <row r="91" spans="29:29" x14ac:dyDescent="0.3">
      <c r="AC91">
        <f>'معلومات الطلاب'!H90</f>
        <v>0</v>
      </c>
    </row>
    <row r="92" spans="29:29" x14ac:dyDescent="0.3">
      <c r="AC92">
        <f>'معلومات الطلاب'!H91</f>
        <v>0</v>
      </c>
    </row>
    <row r="93" spans="29:29" x14ac:dyDescent="0.3">
      <c r="AC93">
        <f>'معلومات الطلاب'!H92</f>
        <v>0</v>
      </c>
    </row>
    <row r="94" spans="29:29" x14ac:dyDescent="0.3">
      <c r="AC94">
        <f>'معلومات الطلاب'!H93</f>
        <v>0</v>
      </c>
    </row>
    <row r="95" spans="29:29" x14ac:dyDescent="0.3">
      <c r="AC95">
        <f>'معلومات الطلاب'!H94</f>
        <v>0</v>
      </c>
    </row>
    <row r="96" spans="29:29" x14ac:dyDescent="0.3">
      <c r="AC96">
        <f>'معلومات الطلاب'!H95</f>
        <v>0</v>
      </c>
    </row>
    <row r="97" spans="29:29" x14ac:dyDescent="0.3">
      <c r="AC97">
        <f>'معلومات الطلاب'!H96</f>
        <v>0</v>
      </c>
    </row>
    <row r="98" spans="29:29" x14ac:dyDescent="0.3">
      <c r="AC98">
        <f>'معلومات الطلاب'!H97</f>
        <v>0</v>
      </c>
    </row>
    <row r="99" spans="29:29" x14ac:dyDescent="0.3">
      <c r="AC99">
        <f>'معلومات الطلاب'!H98</f>
        <v>0</v>
      </c>
    </row>
    <row r="100" spans="29:29" x14ac:dyDescent="0.3">
      <c r="AC100">
        <f>'معلومات الطلاب'!H99</f>
        <v>0</v>
      </c>
    </row>
    <row r="101" spans="29:29" x14ac:dyDescent="0.3">
      <c r="AC101">
        <f>'معلومات الطلاب'!H100</f>
        <v>0</v>
      </c>
    </row>
    <row r="102" spans="29:29" x14ac:dyDescent="0.3">
      <c r="AC102">
        <f>'معلومات الطلاب'!H101</f>
        <v>0</v>
      </c>
    </row>
    <row r="103" spans="29:29" x14ac:dyDescent="0.3">
      <c r="AC103">
        <f>'معلومات الطلاب'!H102</f>
        <v>0</v>
      </c>
    </row>
    <row r="104" spans="29:29" x14ac:dyDescent="0.3">
      <c r="AC104">
        <f>'معلومات الطلاب'!H103</f>
        <v>0</v>
      </c>
    </row>
    <row r="105" spans="29:29" x14ac:dyDescent="0.3">
      <c r="AC105">
        <f>'معلومات الطلاب'!H104</f>
        <v>0</v>
      </c>
    </row>
    <row r="106" spans="29:29" x14ac:dyDescent="0.3">
      <c r="AC106">
        <f>'معلومات الطلاب'!H105</f>
        <v>0</v>
      </c>
    </row>
    <row r="107" spans="29:29" x14ac:dyDescent="0.3">
      <c r="AC107">
        <f>'معلومات الطلاب'!H106</f>
        <v>0</v>
      </c>
    </row>
    <row r="108" spans="29:29" x14ac:dyDescent="0.3">
      <c r="AC108">
        <f>'معلومات الطلاب'!H107</f>
        <v>0</v>
      </c>
    </row>
    <row r="109" spans="29:29" x14ac:dyDescent="0.3">
      <c r="AC109">
        <f>'معلومات الطلاب'!H108</f>
        <v>0</v>
      </c>
    </row>
    <row r="110" spans="29:29" x14ac:dyDescent="0.3">
      <c r="AC110">
        <f>'معلومات الطلاب'!H109</f>
        <v>0</v>
      </c>
    </row>
    <row r="111" spans="29:29" x14ac:dyDescent="0.3">
      <c r="AC111">
        <f>'معلومات الطلاب'!H110</f>
        <v>0</v>
      </c>
    </row>
    <row r="112" spans="29:29" x14ac:dyDescent="0.3">
      <c r="AC112">
        <f>'معلومات الطلاب'!H111</f>
        <v>0</v>
      </c>
    </row>
    <row r="113" spans="29:29" x14ac:dyDescent="0.3">
      <c r="AC113">
        <f>'معلومات الطلاب'!H112</f>
        <v>0</v>
      </c>
    </row>
    <row r="114" spans="29:29" x14ac:dyDescent="0.3">
      <c r="AC114">
        <f>'معلومات الطلاب'!H113</f>
        <v>0</v>
      </c>
    </row>
    <row r="115" spans="29:29" x14ac:dyDescent="0.3">
      <c r="AC115">
        <f>'معلومات الطلاب'!H114</f>
        <v>0</v>
      </c>
    </row>
    <row r="116" spans="29:29" x14ac:dyDescent="0.3">
      <c r="AC116">
        <f>'معلومات الطلاب'!H115</f>
        <v>0</v>
      </c>
    </row>
    <row r="117" spans="29:29" x14ac:dyDescent="0.3">
      <c r="AC117">
        <f>'معلومات الطلاب'!H116</f>
        <v>0</v>
      </c>
    </row>
    <row r="118" spans="29:29" x14ac:dyDescent="0.3">
      <c r="AC118">
        <f>'معلومات الطلاب'!H117</f>
        <v>0</v>
      </c>
    </row>
    <row r="119" spans="29:29" x14ac:dyDescent="0.3">
      <c r="AC119">
        <f>'معلومات الطلاب'!H118</f>
        <v>0</v>
      </c>
    </row>
    <row r="120" spans="29:29" x14ac:dyDescent="0.3">
      <c r="AC120">
        <f>'معلومات الطلاب'!H119</f>
        <v>0</v>
      </c>
    </row>
    <row r="121" spans="29:29" x14ac:dyDescent="0.3">
      <c r="AC121">
        <f>'معلومات الطلاب'!H120</f>
        <v>0</v>
      </c>
    </row>
    <row r="122" spans="29:29" x14ac:dyDescent="0.3">
      <c r="AC122">
        <f>'معلومات الطلاب'!H121</f>
        <v>0</v>
      </c>
    </row>
    <row r="123" spans="29:29" x14ac:dyDescent="0.3">
      <c r="AC123">
        <f>'معلومات الطلاب'!H122</f>
        <v>0</v>
      </c>
    </row>
    <row r="124" spans="29:29" x14ac:dyDescent="0.3">
      <c r="AC124">
        <f>'معلومات الطلاب'!H123</f>
        <v>0</v>
      </c>
    </row>
    <row r="125" spans="29:29" x14ac:dyDescent="0.3">
      <c r="AC125">
        <f>'معلومات الطلاب'!H124</f>
        <v>0</v>
      </c>
    </row>
    <row r="126" spans="29:29" x14ac:dyDescent="0.3">
      <c r="AC126">
        <f>'معلومات الطلاب'!H125</f>
        <v>0</v>
      </c>
    </row>
    <row r="127" spans="29:29" x14ac:dyDescent="0.3">
      <c r="AC127">
        <f>'معلومات الطلاب'!H126</f>
        <v>0</v>
      </c>
    </row>
    <row r="128" spans="29:29" x14ac:dyDescent="0.3">
      <c r="AC128">
        <f>'معلومات الطلاب'!H127</f>
        <v>0</v>
      </c>
    </row>
    <row r="129" spans="29:29" x14ac:dyDescent="0.3">
      <c r="AC129">
        <f>'معلومات الطلاب'!H128</f>
        <v>0</v>
      </c>
    </row>
    <row r="130" spans="29:29" x14ac:dyDescent="0.3">
      <c r="AC130">
        <f>'معلومات الطلاب'!H129</f>
        <v>0</v>
      </c>
    </row>
    <row r="131" spans="29:29" x14ac:dyDescent="0.3">
      <c r="AC131">
        <f>'معلومات الطلاب'!H130</f>
        <v>0</v>
      </c>
    </row>
    <row r="132" spans="29:29" x14ac:dyDescent="0.3">
      <c r="AC132">
        <f>'معلومات الطلاب'!H131</f>
        <v>0</v>
      </c>
    </row>
    <row r="133" spans="29:29" x14ac:dyDescent="0.3">
      <c r="AC133">
        <f>'معلومات الطلاب'!H132</f>
        <v>0</v>
      </c>
    </row>
    <row r="134" spans="29:29" x14ac:dyDescent="0.3">
      <c r="AC134">
        <f>'معلومات الطلاب'!H133</f>
        <v>0</v>
      </c>
    </row>
    <row r="135" spans="29:29" x14ac:dyDescent="0.3">
      <c r="AC135">
        <f>'معلومات الطلاب'!H134</f>
        <v>0</v>
      </c>
    </row>
    <row r="136" spans="29:29" x14ac:dyDescent="0.3">
      <c r="AC136">
        <f>'معلومات الطلاب'!H135</f>
        <v>0</v>
      </c>
    </row>
    <row r="137" spans="29:29" x14ac:dyDescent="0.3">
      <c r="AC137">
        <f>'معلومات الطلاب'!H136</f>
        <v>0</v>
      </c>
    </row>
    <row r="138" spans="29:29" x14ac:dyDescent="0.3">
      <c r="AC138">
        <f>'معلومات الطلاب'!H137</f>
        <v>0</v>
      </c>
    </row>
    <row r="139" spans="29:29" x14ac:dyDescent="0.3">
      <c r="AC139">
        <f>'معلومات الطلاب'!H138</f>
        <v>0</v>
      </c>
    </row>
    <row r="140" spans="29:29" x14ac:dyDescent="0.3">
      <c r="AC140">
        <f>'معلومات الطلاب'!H139</f>
        <v>0</v>
      </c>
    </row>
    <row r="141" spans="29:29" x14ac:dyDescent="0.3">
      <c r="AC141">
        <f>'معلومات الطلاب'!H140</f>
        <v>0</v>
      </c>
    </row>
    <row r="142" spans="29:29" x14ac:dyDescent="0.3">
      <c r="AC142">
        <f>'معلومات الطلاب'!H141</f>
        <v>0</v>
      </c>
    </row>
    <row r="143" spans="29:29" x14ac:dyDescent="0.3">
      <c r="AC143">
        <f>'معلومات الطلاب'!H142</f>
        <v>0</v>
      </c>
    </row>
    <row r="144" spans="29:29" x14ac:dyDescent="0.3">
      <c r="AC144">
        <f>'معلومات الطلاب'!H143</f>
        <v>0</v>
      </c>
    </row>
    <row r="145" spans="29:29" x14ac:dyDescent="0.3">
      <c r="AC145">
        <f>'معلومات الطلاب'!H144</f>
        <v>0</v>
      </c>
    </row>
    <row r="146" spans="29:29" x14ac:dyDescent="0.3">
      <c r="AC146">
        <f>'معلومات الطلاب'!H145</f>
        <v>0</v>
      </c>
    </row>
    <row r="147" spans="29:29" x14ac:dyDescent="0.3">
      <c r="AC147">
        <f>'معلومات الطلاب'!H146</f>
        <v>0</v>
      </c>
    </row>
    <row r="148" spans="29:29" x14ac:dyDescent="0.3">
      <c r="AC148">
        <f>'معلومات الطلاب'!H147</f>
        <v>0</v>
      </c>
    </row>
    <row r="149" spans="29:29" x14ac:dyDescent="0.3">
      <c r="AC149">
        <f>'معلومات الطلاب'!H148</f>
        <v>0</v>
      </c>
    </row>
    <row r="150" spans="29:29" x14ac:dyDescent="0.3">
      <c r="AC150">
        <f>'معلومات الطلاب'!H149</f>
        <v>0</v>
      </c>
    </row>
    <row r="151" spans="29:29" x14ac:dyDescent="0.3">
      <c r="AC151">
        <f>'معلومات الطلاب'!H150</f>
        <v>0</v>
      </c>
    </row>
    <row r="152" spans="29:29" x14ac:dyDescent="0.3">
      <c r="AC152">
        <f>'معلومات الطلاب'!H151</f>
        <v>0</v>
      </c>
    </row>
    <row r="153" spans="29:29" x14ac:dyDescent="0.3">
      <c r="AC153">
        <f>'معلومات الطلاب'!H152</f>
        <v>0</v>
      </c>
    </row>
    <row r="154" spans="29:29" x14ac:dyDescent="0.3">
      <c r="AC154">
        <f>'معلومات الطلاب'!H153</f>
        <v>0</v>
      </c>
    </row>
    <row r="155" spans="29:29" x14ac:dyDescent="0.3">
      <c r="AC155">
        <f>'معلومات الطلاب'!H154</f>
        <v>0</v>
      </c>
    </row>
    <row r="156" spans="29:29" x14ac:dyDescent="0.3">
      <c r="AC156">
        <f>'معلومات الطلاب'!H155</f>
        <v>0</v>
      </c>
    </row>
    <row r="157" spans="29:29" x14ac:dyDescent="0.3">
      <c r="AC157">
        <f>'معلومات الطلاب'!H156</f>
        <v>0</v>
      </c>
    </row>
    <row r="158" spans="29:29" x14ac:dyDescent="0.3">
      <c r="AC158">
        <f>'معلومات الطلاب'!H157</f>
        <v>0</v>
      </c>
    </row>
    <row r="159" spans="29:29" x14ac:dyDescent="0.3">
      <c r="AC159">
        <f>'معلومات الطلاب'!H158</f>
        <v>0</v>
      </c>
    </row>
    <row r="160" spans="29:29" x14ac:dyDescent="0.3">
      <c r="AC160">
        <f>'معلومات الطلاب'!H159</f>
        <v>0</v>
      </c>
    </row>
    <row r="161" spans="29:29" x14ac:dyDescent="0.3">
      <c r="AC161">
        <f>'معلومات الطلاب'!H160</f>
        <v>0</v>
      </c>
    </row>
    <row r="162" spans="29:29" x14ac:dyDescent="0.3">
      <c r="AC162">
        <f>'معلومات الطلاب'!H161</f>
        <v>0</v>
      </c>
    </row>
    <row r="163" spans="29:29" x14ac:dyDescent="0.3">
      <c r="AC163">
        <f>'معلومات الطلاب'!H162</f>
        <v>0</v>
      </c>
    </row>
    <row r="164" spans="29:29" x14ac:dyDescent="0.3">
      <c r="AC164">
        <f>'معلومات الطلاب'!H163</f>
        <v>0</v>
      </c>
    </row>
    <row r="165" spans="29:29" x14ac:dyDescent="0.3">
      <c r="AC165">
        <f>'معلومات الطلاب'!H164</f>
        <v>0</v>
      </c>
    </row>
    <row r="166" spans="29:29" x14ac:dyDescent="0.3">
      <c r="AC166">
        <f>'معلومات الطلاب'!H165</f>
        <v>0</v>
      </c>
    </row>
    <row r="167" spans="29:29" x14ac:dyDescent="0.3">
      <c r="AC167">
        <f>'معلومات الطلاب'!H166</f>
        <v>0</v>
      </c>
    </row>
    <row r="168" spans="29:29" x14ac:dyDescent="0.3">
      <c r="AC168">
        <f>'معلومات الطلاب'!H167</f>
        <v>0</v>
      </c>
    </row>
    <row r="169" spans="29:29" x14ac:dyDescent="0.3">
      <c r="AC169">
        <f>'معلومات الطلاب'!H168</f>
        <v>0</v>
      </c>
    </row>
    <row r="170" spans="29:29" x14ac:dyDescent="0.3">
      <c r="AC170">
        <f>'معلومات الطلاب'!H169</f>
        <v>0</v>
      </c>
    </row>
    <row r="171" spans="29:29" x14ac:dyDescent="0.3">
      <c r="AC171">
        <f>'معلومات الطلاب'!H170</f>
        <v>0</v>
      </c>
    </row>
    <row r="172" spans="29:29" x14ac:dyDescent="0.3">
      <c r="AC172">
        <f>'معلومات الطلاب'!H171</f>
        <v>0</v>
      </c>
    </row>
    <row r="173" spans="29:29" x14ac:dyDescent="0.3">
      <c r="AC173">
        <f>'معلومات الطلاب'!H172</f>
        <v>0</v>
      </c>
    </row>
    <row r="174" spans="29:29" x14ac:dyDescent="0.3">
      <c r="AC174">
        <f>'معلومات الطلاب'!H173</f>
        <v>0</v>
      </c>
    </row>
    <row r="175" spans="29:29" x14ac:dyDescent="0.3">
      <c r="AC175">
        <f>'معلومات الطلاب'!H174</f>
        <v>0</v>
      </c>
    </row>
    <row r="176" spans="29:29" x14ac:dyDescent="0.3">
      <c r="AC176">
        <f>'معلومات الطلاب'!H175</f>
        <v>0</v>
      </c>
    </row>
    <row r="177" spans="29:29" x14ac:dyDescent="0.3">
      <c r="AC177">
        <f>'معلومات الطلاب'!H176</f>
        <v>0</v>
      </c>
    </row>
    <row r="178" spans="29:29" x14ac:dyDescent="0.3">
      <c r="AC178">
        <f>'معلومات الطلاب'!H177</f>
        <v>0</v>
      </c>
    </row>
    <row r="179" spans="29:29" x14ac:dyDescent="0.3">
      <c r="AC179">
        <f>'معلومات الطلاب'!H178</f>
        <v>0</v>
      </c>
    </row>
    <row r="180" spans="29:29" x14ac:dyDescent="0.3">
      <c r="AC180">
        <f>'معلومات الطلاب'!H179</f>
        <v>0</v>
      </c>
    </row>
    <row r="181" spans="29:29" x14ac:dyDescent="0.3">
      <c r="AC181">
        <f>'معلومات الطلاب'!H180</f>
        <v>0</v>
      </c>
    </row>
    <row r="182" spans="29:29" x14ac:dyDescent="0.3">
      <c r="AC182">
        <f>'معلومات الطلاب'!H181</f>
        <v>0</v>
      </c>
    </row>
    <row r="183" spans="29:29" x14ac:dyDescent="0.3">
      <c r="AC183">
        <f>'معلومات الطلاب'!H182</f>
        <v>0</v>
      </c>
    </row>
    <row r="184" spans="29:29" x14ac:dyDescent="0.3">
      <c r="AC184">
        <f>'معلومات الطلاب'!H183</f>
        <v>0</v>
      </c>
    </row>
    <row r="185" spans="29:29" x14ac:dyDescent="0.3">
      <c r="AC185">
        <f>'معلومات الطلاب'!H184</f>
        <v>0</v>
      </c>
    </row>
    <row r="186" spans="29:29" x14ac:dyDescent="0.3">
      <c r="AC186">
        <f>'معلومات الطلاب'!H185</f>
        <v>0</v>
      </c>
    </row>
    <row r="187" spans="29:29" x14ac:dyDescent="0.3">
      <c r="AC187">
        <f>'معلومات الطلاب'!H186</f>
        <v>0</v>
      </c>
    </row>
    <row r="188" spans="29:29" x14ac:dyDescent="0.3">
      <c r="AC188">
        <f>'معلومات الطلاب'!H187</f>
        <v>0</v>
      </c>
    </row>
    <row r="189" spans="29:29" x14ac:dyDescent="0.3">
      <c r="AC189">
        <f>'معلومات الطلاب'!H188</f>
        <v>0</v>
      </c>
    </row>
    <row r="190" spans="29:29" x14ac:dyDescent="0.3">
      <c r="AC190">
        <f>'معلومات الطلاب'!H189</f>
        <v>0</v>
      </c>
    </row>
    <row r="191" spans="29:29" x14ac:dyDescent="0.3">
      <c r="AC191">
        <f>'معلومات الطلاب'!H190</f>
        <v>0</v>
      </c>
    </row>
    <row r="192" spans="29:29" x14ac:dyDescent="0.3">
      <c r="AC192">
        <f>'معلومات الطلاب'!H191</f>
        <v>0</v>
      </c>
    </row>
    <row r="193" spans="29:29" x14ac:dyDescent="0.3">
      <c r="AC193">
        <f>'معلومات الطلاب'!H192</f>
        <v>0</v>
      </c>
    </row>
    <row r="194" spans="29:29" x14ac:dyDescent="0.3">
      <c r="AC194">
        <f>'معلومات الطلاب'!H193</f>
        <v>0</v>
      </c>
    </row>
    <row r="195" spans="29:29" x14ac:dyDescent="0.3">
      <c r="AC195">
        <f>'معلومات الطلاب'!H194</f>
        <v>0</v>
      </c>
    </row>
    <row r="196" spans="29:29" x14ac:dyDescent="0.3">
      <c r="AC196">
        <f>'معلومات الطلاب'!H195</f>
        <v>0</v>
      </c>
    </row>
    <row r="197" spans="29:29" x14ac:dyDescent="0.3">
      <c r="AC197">
        <f>'معلومات الطلاب'!H196</f>
        <v>0</v>
      </c>
    </row>
    <row r="198" spans="29:29" x14ac:dyDescent="0.3">
      <c r="AC198">
        <f>'معلومات الطلاب'!H197</f>
        <v>0</v>
      </c>
    </row>
    <row r="199" spans="29:29" x14ac:dyDescent="0.3">
      <c r="AC199">
        <f>'معلومات الطلاب'!H198</f>
        <v>0</v>
      </c>
    </row>
    <row r="200" spans="29:29" x14ac:dyDescent="0.3">
      <c r="AC200">
        <f>'معلومات الطلاب'!H199</f>
        <v>0</v>
      </c>
    </row>
    <row r="201" spans="29:29" x14ac:dyDescent="0.3">
      <c r="AC201">
        <f>'معلومات الطلاب'!H200</f>
        <v>0</v>
      </c>
    </row>
    <row r="202" spans="29:29" x14ac:dyDescent="0.3">
      <c r="AC202">
        <f>'معلومات الطلاب'!H201</f>
        <v>0</v>
      </c>
    </row>
    <row r="203" spans="29:29" x14ac:dyDescent="0.3">
      <c r="AC203">
        <f>'معلومات الطلاب'!H202</f>
        <v>0</v>
      </c>
    </row>
    <row r="204" spans="29:29" x14ac:dyDescent="0.3">
      <c r="AC204">
        <f>'معلومات الطلاب'!H203</f>
        <v>0</v>
      </c>
    </row>
    <row r="205" spans="29:29" x14ac:dyDescent="0.3">
      <c r="AC205">
        <f>'معلومات الطلاب'!H204</f>
        <v>0</v>
      </c>
    </row>
    <row r="206" spans="29:29" x14ac:dyDescent="0.3">
      <c r="AC206">
        <f>'معلومات الطلاب'!H205</f>
        <v>0</v>
      </c>
    </row>
    <row r="207" spans="29:29" x14ac:dyDescent="0.3">
      <c r="AC207">
        <f>'معلومات الطلاب'!H206</f>
        <v>0</v>
      </c>
    </row>
    <row r="208" spans="29:29" x14ac:dyDescent="0.3">
      <c r="AC208">
        <f>'معلومات الطلاب'!H207</f>
        <v>0</v>
      </c>
    </row>
    <row r="209" spans="29:29" x14ac:dyDescent="0.3">
      <c r="AC209">
        <f>'معلومات الطلاب'!H208</f>
        <v>0</v>
      </c>
    </row>
    <row r="210" spans="29:29" x14ac:dyDescent="0.3">
      <c r="AC210">
        <f>'معلومات الطلاب'!H209</f>
        <v>0</v>
      </c>
    </row>
    <row r="211" spans="29:29" x14ac:dyDescent="0.3">
      <c r="AC211">
        <f>'معلومات الطلاب'!H210</f>
        <v>0</v>
      </c>
    </row>
    <row r="212" spans="29:29" x14ac:dyDescent="0.3">
      <c r="AC212">
        <f>'معلومات الطلاب'!H211</f>
        <v>0</v>
      </c>
    </row>
    <row r="213" spans="29:29" x14ac:dyDescent="0.3">
      <c r="AC213">
        <f>'معلومات الطلاب'!H212</f>
        <v>0</v>
      </c>
    </row>
    <row r="214" spans="29:29" x14ac:dyDescent="0.3">
      <c r="AC214">
        <f>'معلومات الطلاب'!H213</f>
        <v>0</v>
      </c>
    </row>
    <row r="215" spans="29:29" x14ac:dyDescent="0.3">
      <c r="AC215">
        <f>'معلومات الطلاب'!H214</f>
        <v>0</v>
      </c>
    </row>
    <row r="216" spans="29:29" x14ac:dyDescent="0.3">
      <c r="AC216">
        <f>'معلومات الطلاب'!H215</f>
        <v>0</v>
      </c>
    </row>
    <row r="217" spans="29:29" x14ac:dyDescent="0.3">
      <c r="AC217">
        <f>'معلومات الطلاب'!H216</f>
        <v>0</v>
      </c>
    </row>
    <row r="218" spans="29:29" x14ac:dyDescent="0.3">
      <c r="AC218">
        <f>'معلومات الطلاب'!H217</f>
        <v>0</v>
      </c>
    </row>
    <row r="219" spans="29:29" x14ac:dyDescent="0.3">
      <c r="AC219">
        <f>'معلومات الطلاب'!H218</f>
        <v>0</v>
      </c>
    </row>
    <row r="220" spans="29:29" x14ac:dyDescent="0.3">
      <c r="AC220">
        <f>'معلومات الطلاب'!H219</f>
        <v>0</v>
      </c>
    </row>
    <row r="221" spans="29:29" x14ac:dyDescent="0.3">
      <c r="AC221">
        <f>'معلومات الطلاب'!H220</f>
        <v>0</v>
      </c>
    </row>
    <row r="222" spans="29:29" x14ac:dyDescent="0.3">
      <c r="AC222">
        <f>'معلومات الطلاب'!H221</f>
        <v>0</v>
      </c>
    </row>
    <row r="223" spans="29:29" x14ac:dyDescent="0.3">
      <c r="AC223">
        <f>'معلومات الطلاب'!H222</f>
        <v>0</v>
      </c>
    </row>
    <row r="224" spans="29:29" x14ac:dyDescent="0.3">
      <c r="AC224">
        <f>'معلومات الطلاب'!H223</f>
        <v>0</v>
      </c>
    </row>
    <row r="225" spans="29:29" x14ac:dyDescent="0.3">
      <c r="AC225">
        <f>'معلومات الطلاب'!H224</f>
        <v>0</v>
      </c>
    </row>
    <row r="226" spans="29:29" x14ac:dyDescent="0.3">
      <c r="AC226">
        <f>'معلومات الطلاب'!H225</f>
        <v>0</v>
      </c>
    </row>
    <row r="227" spans="29:29" x14ac:dyDescent="0.3">
      <c r="AC227">
        <f>'معلومات الطلاب'!H226</f>
        <v>0</v>
      </c>
    </row>
    <row r="228" spans="29:29" x14ac:dyDescent="0.3">
      <c r="AC228">
        <f>'معلومات الطلاب'!H227</f>
        <v>0</v>
      </c>
    </row>
    <row r="229" spans="29:29" x14ac:dyDescent="0.3">
      <c r="AC229">
        <f>'معلومات الطلاب'!H228</f>
        <v>0</v>
      </c>
    </row>
    <row r="230" spans="29:29" x14ac:dyDescent="0.3">
      <c r="AC230">
        <f>'معلومات الطلاب'!H229</f>
        <v>0</v>
      </c>
    </row>
    <row r="231" spans="29:29" x14ac:dyDescent="0.3">
      <c r="AC231">
        <f>'معلومات الطلاب'!H230</f>
        <v>0</v>
      </c>
    </row>
    <row r="232" spans="29:29" x14ac:dyDescent="0.3">
      <c r="AC232">
        <f>'معلومات الطلاب'!H231</f>
        <v>0</v>
      </c>
    </row>
    <row r="233" spans="29:29" x14ac:dyDescent="0.3">
      <c r="AC233">
        <f>'معلومات الطلاب'!H232</f>
        <v>0</v>
      </c>
    </row>
    <row r="234" spans="29:29" x14ac:dyDescent="0.3">
      <c r="AC234">
        <f>'معلومات الطلاب'!H233</f>
        <v>0</v>
      </c>
    </row>
    <row r="235" spans="29:29" x14ac:dyDescent="0.3">
      <c r="AC235">
        <f>'معلومات الطلاب'!H234</f>
        <v>0</v>
      </c>
    </row>
    <row r="236" spans="29:29" x14ac:dyDescent="0.3">
      <c r="AC236">
        <f>'معلومات الطلاب'!H235</f>
        <v>0</v>
      </c>
    </row>
    <row r="237" spans="29:29" x14ac:dyDescent="0.3">
      <c r="AC237">
        <f>'معلومات الطلاب'!H236</f>
        <v>0</v>
      </c>
    </row>
    <row r="238" spans="29:29" x14ac:dyDescent="0.3">
      <c r="AC238">
        <f>'معلومات الطلاب'!H237</f>
        <v>0</v>
      </c>
    </row>
    <row r="239" spans="29:29" x14ac:dyDescent="0.3">
      <c r="AC239">
        <f>'معلومات الطلاب'!H238</f>
        <v>0</v>
      </c>
    </row>
    <row r="240" spans="29:29" x14ac:dyDescent="0.3">
      <c r="AC240">
        <f>'معلومات الطلاب'!H239</f>
        <v>0</v>
      </c>
    </row>
    <row r="241" spans="29:29" x14ac:dyDescent="0.3">
      <c r="AC241">
        <f>'معلومات الطلاب'!H240</f>
        <v>0</v>
      </c>
    </row>
    <row r="242" spans="29:29" x14ac:dyDescent="0.3">
      <c r="AC242">
        <f>'معلومات الطلاب'!H241</f>
        <v>0</v>
      </c>
    </row>
    <row r="243" spans="29:29" x14ac:dyDescent="0.3">
      <c r="AC243">
        <f>'معلومات الطلاب'!H242</f>
        <v>0</v>
      </c>
    </row>
    <row r="244" spans="29:29" x14ac:dyDescent="0.3">
      <c r="AC244">
        <f>'معلومات الطلاب'!H243</f>
        <v>0</v>
      </c>
    </row>
    <row r="245" spans="29:29" x14ac:dyDescent="0.3">
      <c r="AC245">
        <f>'معلومات الطلاب'!H244</f>
        <v>0</v>
      </c>
    </row>
    <row r="246" spans="29:29" x14ac:dyDescent="0.3">
      <c r="AC246">
        <f>'معلومات الطلاب'!H245</f>
        <v>0</v>
      </c>
    </row>
    <row r="247" spans="29:29" x14ac:dyDescent="0.3">
      <c r="AC247">
        <f>'معلومات الطلاب'!H246</f>
        <v>0</v>
      </c>
    </row>
    <row r="248" spans="29:29" x14ac:dyDescent="0.3">
      <c r="AC248">
        <f>'معلومات الطلاب'!H247</f>
        <v>0</v>
      </c>
    </row>
    <row r="249" spans="29:29" x14ac:dyDescent="0.3">
      <c r="AC249">
        <f>'معلومات الطلاب'!H248</f>
        <v>0</v>
      </c>
    </row>
    <row r="250" spans="29:29" x14ac:dyDescent="0.3">
      <c r="AC250">
        <f>'معلومات الطلاب'!H249</f>
        <v>0</v>
      </c>
    </row>
    <row r="251" spans="29:29" x14ac:dyDescent="0.3">
      <c r="AC251">
        <f>'معلومات الطلاب'!H250</f>
        <v>0</v>
      </c>
    </row>
    <row r="252" spans="29:29" x14ac:dyDescent="0.3">
      <c r="AC252">
        <f>'معلومات الطلاب'!H251</f>
        <v>0</v>
      </c>
    </row>
    <row r="253" spans="29:29" x14ac:dyDescent="0.3">
      <c r="AC253">
        <f>'معلومات الطلاب'!H252</f>
        <v>0</v>
      </c>
    </row>
    <row r="254" spans="29:29" x14ac:dyDescent="0.3">
      <c r="AC254">
        <f>'معلومات الطلاب'!H253</f>
        <v>0</v>
      </c>
    </row>
    <row r="255" spans="29:29" x14ac:dyDescent="0.3">
      <c r="AC255">
        <f>'معلومات الطلاب'!H254</f>
        <v>0</v>
      </c>
    </row>
    <row r="256" spans="29:29" x14ac:dyDescent="0.3">
      <c r="AC256">
        <f>'معلومات الطلاب'!H255</f>
        <v>0</v>
      </c>
    </row>
    <row r="257" spans="29:29" x14ac:dyDescent="0.3">
      <c r="AC257">
        <f>'معلومات الطلاب'!H256</f>
        <v>0</v>
      </c>
    </row>
    <row r="258" spans="29:29" x14ac:dyDescent="0.3">
      <c r="AC258">
        <f>'معلومات الطلاب'!H257</f>
        <v>0</v>
      </c>
    </row>
    <row r="259" spans="29:29" x14ac:dyDescent="0.3">
      <c r="AC259">
        <f>'معلومات الطلاب'!H258</f>
        <v>0</v>
      </c>
    </row>
    <row r="260" spans="29:29" x14ac:dyDescent="0.3">
      <c r="AC260">
        <f>'معلومات الطلاب'!H259</f>
        <v>0</v>
      </c>
    </row>
    <row r="261" spans="29:29" x14ac:dyDescent="0.3">
      <c r="AC261">
        <f>'معلومات الطلاب'!H260</f>
        <v>0</v>
      </c>
    </row>
    <row r="262" spans="29:29" x14ac:dyDescent="0.3">
      <c r="AC262">
        <f>'معلومات الطلاب'!H261</f>
        <v>0</v>
      </c>
    </row>
    <row r="263" spans="29:29" x14ac:dyDescent="0.3">
      <c r="AC263">
        <f>'معلومات الطلاب'!H262</f>
        <v>0</v>
      </c>
    </row>
    <row r="264" spans="29:29" x14ac:dyDescent="0.3">
      <c r="AC264">
        <f>'معلومات الطلاب'!H263</f>
        <v>0</v>
      </c>
    </row>
    <row r="265" spans="29:29" x14ac:dyDescent="0.3">
      <c r="AC265">
        <f>'معلومات الطلاب'!H264</f>
        <v>0</v>
      </c>
    </row>
    <row r="266" spans="29:29" x14ac:dyDescent="0.3">
      <c r="AC266">
        <f>'معلومات الطلاب'!H265</f>
        <v>0</v>
      </c>
    </row>
    <row r="267" spans="29:29" x14ac:dyDescent="0.3">
      <c r="AC267">
        <f>'معلومات الطلاب'!H266</f>
        <v>0</v>
      </c>
    </row>
    <row r="268" spans="29:29" x14ac:dyDescent="0.3">
      <c r="AC268">
        <f>'معلومات الطلاب'!H267</f>
        <v>0</v>
      </c>
    </row>
    <row r="269" spans="29:29" x14ac:dyDescent="0.3">
      <c r="AC269">
        <f>'معلومات الطلاب'!H268</f>
        <v>0</v>
      </c>
    </row>
    <row r="270" spans="29:29" x14ac:dyDescent="0.3">
      <c r="AC270">
        <f>'معلومات الطلاب'!H269</f>
        <v>0</v>
      </c>
    </row>
    <row r="271" spans="29:29" x14ac:dyDescent="0.3">
      <c r="AC271">
        <f>'معلومات الطلاب'!H270</f>
        <v>0</v>
      </c>
    </row>
    <row r="272" spans="29:29" x14ac:dyDescent="0.3">
      <c r="AC272">
        <f>'معلومات الطلاب'!H271</f>
        <v>0</v>
      </c>
    </row>
    <row r="273" spans="29:29" x14ac:dyDescent="0.3">
      <c r="AC273">
        <f>'معلومات الطلاب'!H272</f>
        <v>0</v>
      </c>
    </row>
    <row r="274" spans="29:29" x14ac:dyDescent="0.3">
      <c r="AC274">
        <f>'معلومات الطلاب'!H273</f>
        <v>0</v>
      </c>
    </row>
    <row r="275" spans="29:29" x14ac:dyDescent="0.3">
      <c r="AC275">
        <f>'معلومات الطلاب'!H274</f>
        <v>0</v>
      </c>
    </row>
    <row r="276" spans="29:29" x14ac:dyDescent="0.3">
      <c r="AC276">
        <f>'معلومات الطلاب'!H275</f>
        <v>0</v>
      </c>
    </row>
    <row r="277" spans="29:29" x14ac:dyDescent="0.3">
      <c r="AC277">
        <f>'معلومات الطلاب'!H276</f>
        <v>0</v>
      </c>
    </row>
    <row r="278" spans="29:29" x14ac:dyDescent="0.3">
      <c r="AC278">
        <f>'معلومات الطلاب'!H277</f>
        <v>0</v>
      </c>
    </row>
    <row r="279" spans="29:29" x14ac:dyDescent="0.3">
      <c r="AC279">
        <f>'معلومات الطلاب'!H278</f>
        <v>0</v>
      </c>
    </row>
    <row r="280" spans="29:29" x14ac:dyDescent="0.3">
      <c r="AC280">
        <f>'معلومات الطلاب'!H279</f>
        <v>0</v>
      </c>
    </row>
    <row r="281" spans="29:29" x14ac:dyDescent="0.3">
      <c r="AC281">
        <f>'معلومات الطلاب'!H280</f>
        <v>0</v>
      </c>
    </row>
    <row r="282" spans="29:29" x14ac:dyDescent="0.3">
      <c r="AC282">
        <f>'معلومات الطلاب'!H281</f>
        <v>0</v>
      </c>
    </row>
    <row r="283" spans="29:29" x14ac:dyDescent="0.3">
      <c r="AC283">
        <f>'معلومات الطلاب'!H282</f>
        <v>0</v>
      </c>
    </row>
    <row r="284" spans="29:29" x14ac:dyDescent="0.3">
      <c r="AC284">
        <f>'معلومات الطلاب'!H283</f>
        <v>0</v>
      </c>
    </row>
    <row r="285" spans="29:29" x14ac:dyDescent="0.3">
      <c r="AC285">
        <f>'معلومات الطلاب'!H284</f>
        <v>0</v>
      </c>
    </row>
    <row r="286" spans="29:29" x14ac:dyDescent="0.3">
      <c r="AC286">
        <f>'معلومات الطلاب'!H285</f>
        <v>0</v>
      </c>
    </row>
    <row r="287" spans="29:29" x14ac:dyDescent="0.3">
      <c r="AC287">
        <f>'معلومات الطلاب'!H286</f>
        <v>0</v>
      </c>
    </row>
    <row r="288" spans="29:29" x14ac:dyDescent="0.3">
      <c r="AC288">
        <f>'معلومات الطلاب'!H287</f>
        <v>0</v>
      </c>
    </row>
    <row r="289" spans="29:29" x14ac:dyDescent="0.3">
      <c r="AC289">
        <f>'معلومات الطلاب'!H288</f>
        <v>0</v>
      </c>
    </row>
    <row r="290" spans="29:29" x14ac:dyDescent="0.3">
      <c r="AC290">
        <f>'معلومات الطلاب'!H289</f>
        <v>0</v>
      </c>
    </row>
    <row r="291" spans="29:29" x14ac:dyDescent="0.3">
      <c r="AC291">
        <f>'معلومات الطلاب'!H290</f>
        <v>0</v>
      </c>
    </row>
    <row r="292" spans="29:29" x14ac:dyDescent="0.3">
      <c r="AC292">
        <f>'معلومات الطلاب'!H291</f>
        <v>0</v>
      </c>
    </row>
    <row r="293" spans="29:29" x14ac:dyDescent="0.3">
      <c r="AC293">
        <f>'معلومات الطلاب'!H292</f>
        <v>0</v>
      </c>
    </row>
    <row r="294" spans="29:29" x14ac:dyDescent="0.3">
      <c r="AC294">
        <f>'معلومات الطلاب'!H293</f>
        <v>0</v>
      </c>
    </row>
    <row r="295" spans="29:29" x14ac:dyDescent="0.3">
      <c r="AC295">
        <f>'معلومات الطلاب'!H294</f>
        <v>0</v>
      </c>
    </row>
    <row r="296" spans="29:29" x14ac:dyDescent="0.3">
      <c r="AC296">
        <f>'معلومات الطلاب'!H295</f>
        <v>0</v>
      </c>
    </row>
    <row r="297" spans="29:29" x14ac:dyDescent="0.3">
      <c r="AC297">
        <f>'معلومات الطلاب'!H296</f>
        <v>0</v>
      </c>
    </row>
    <row r="298" spans="29:29" x14ac:dyDescent="0.3">
      <c r="AC298">
        <f>'معلومات الطلاب'!H297</f>
        <v>0</v>
      </c>
    </row>
    <row r="299" spans="29:29" x14ac:dyDescent="0.3">
      <c r="AC299">
        <f>'معلومات الطلاب'!H298</f>
        <v>0</v>
      </c>
    </row>
    <row r="300" spans="29:29" x14ac:dyDescent="0.3">
      <c r="AC300">
        <f>'معلومات الطلاب'!H299</f>
        <v>0</v>
      </c>
    </row>
    <row r="301" spans="29:29" x14ac:dyDescent="0.3">
      <c r="AC301">
        <f>'معلومات الطلاب'!H300</f>
        <v>0</v>
      </c>
    </row>
    <row r="302" spans="29:29" x14ac:dyDescent="0.3">
      <c r="AC302">
        <f>'معلومات الطلاب'!H301</f>
        <v>0</v>
      </c>
    </row>
    <row r="303" spans="29:29" x14ac:dyDescent="0.3">
      <c r="AC303">
        <f>'معلومات الطلاب'!H302</f>
        <v>0</v>
      </c>
    </row>
    <row r="304" spans="29:29" x14ac:dyDescent="0.3">
      <c r="AC304">
        <f>'معلومات الطلاب'!H303</f>
        <v>0</v>
      </c>
    </row>
    <row r="305" spans="29:29" x14ac:dyDescent="0.3">
      <c r="AC305">
        <f>'معلومات الطلاب'!H304</f>
        <v>0</v>
      </c>
    </row>
    <row r="306" spans="29:29" x14ac:dyDescent="0.3">
      <c r="AC306">
        <f>'معلومات الطلاب'!H305</f>
        <v>0</v>
      </c>
    </row>
    <row r="307" spans="29:29" x14ac:dyDescent="0.3">
      <c r="AC307">
        <f>'معلومات الطلاب'!H306</f>
        <v>0</v>
      </c>
    </row>
    <row r="308" spans="29:29" x14ac:dyDescent="0.3">
      <c r="AC308">
        <f>'معلومات الطلاب'!H307</f>
        <v>0</v>
      </c>
    </row>
    <row r="309" spans="29:29" x14ac:dyDescent="0.3">
      <c r="AC309">
        <f>'معلومات الطلاب'!H308</f>
        <v>0</v>
      </c>
    </row>
    <row r="310" spans="29:29" x14ac:dyDescent="0.3">
      <c r="AC310">
        <f>'معلومات الطلاب'!H309</f>
        <v>0</v>
      </c>
    </row>
    <row r="311" spans="29:29" x14ac:dyDescent="0.3">
      <c r="AC311">
        <f>'معلومات الطلاب'!H310</f>
        <v>0</v>
      </c>
    </row>
    <row r="312" spans="29:29" x14ac:dyDescent="0.3">
      <c r="AC312">
        <f>'معلومات الطلاب'!H311</f>
        <v>0</v>
      </c>
    </row>
    <row r="313" spans="29:29" x14ac:dyDescent="0.3">
      <c r="AC313">
        <f>'معلومات الطلاب'!H312</f>
        <v>0</v>
      </c>
    </row>
    <row r="314" spans="29:29" x14ac:dyDescent="0.3">
      <c r="AC314">
        <f>'معلومات الطلاب'!H313</f>
        <v>0</v>
      </c>
    </row>
    <row r="315" spans="29:29" x14ac:dyDescent="0.3">
      <c r="AC315">
        <f>'معلومات الطلاب'!H314</f>
        <v>0</v>
      </c>
    </row>
    <row r="316" spans="29:29" x14ac:dyDescent="0.3">
      <c r="AC316">
        <f>'معلومات الطلاب'!H315</f>
        <v>0</v>
      </c>
    </row>
    <row r="317" spans="29:29" x14ac:dyDescent="0.3">
      <c r="AC317">
        <f>'معلومات الطلاب'!H316</f>
        <v>0</v>
      </c>
    </row>
    <row r="318" spans="29:29" x14ac:dyDescent="0.3">
      <c r="AC318">
        <f>'معلومات الطلاب'!H317</f>
        <v>0</v>
      </c>
    </row>
    <row r="319" spans="29:29" x14ac:dyDescent="0.3">
      <c r="AC319">
        <f>'معلومات الطلاب'!H318</f>
        <v>0</v>
      </c>
    </row>
    <row r="320" spans="29:29" x14ac:dyDescent="0.3">
      <c r="AC320">
        <f>'معلومات الطلاب'!H319</f>
        <v>0</v>
      </c>
    </row>
    <row r="321" spans="29:29" x14ac:dyDescent="0.3">
      <c r="AC321">
        <f>'معلومات الطلاب'!H320</f>
        <v>0</v>
      </c>
    </row>
    <row r="322" spans="29:29" x14ac:dyDescent="0.3">
      <c r="AC322">
        <f>'معلومات الطلاب'!H321</f>
        <v>0</v>
      </c>
    </row>
    <row r="323" spans="29:29" x14ac:dyDescent="0.3">
      <c r="AC323">
        <f>'معلومات الطلاب'!H322</f>
        <v>0</v>
      </c>
    </row>
    <row r="324" spans="29:29" x14ac:dyDescent="0.3">
      <c r="AC324">
        <f>'معلومات الطلاب'!H323</f>
        <v>0</v>
      </c>
    </row>
    <row r="325" spans="29:29" x14ac:dyDescent="0.3">
      <c r="AC325">
        <f>'معلومات الطلاب'!H324</f>
        <v>0</v>
      </c>
    </row>
    <row r="326" spans="29:29" x14ac:dyDescent="0.3">
      <c r="AC326">
        <f>'معلومات الطلاب'!H325</f>
        <v>0</v>
      </c>
    </row>
    <row r="327" spans="29:29" x14ac:dyDescent="0.3">
      <c r="AC327">
        <f>'معلومات الطلاب'!H326</f>
        <v>0</v>
      </c>
    </row>
    <row r="328" spans="29:29" x14ac:dyDescent="0.3">
      <c r="AC328">
        <f>'معلومات الطلاب'!H327</f>
        <v>0</v>
      </c>
    </row>
    <row r="329" spans="29:29" x14ac:dyDescent="0.3">
      <c r="AC329">
        <f>'معلومات الطلاب'!H328</f>
        <v>0</v>
      </c>
    </row>
    <row r="330" spans="29:29" x14ac:dyDescent="0.3">
      <c r="AC330">
        <f>'معلومات الطلاب'!H329</f>
        <v>0</v>
      </c>
    </row>
    <row r="331" spans="29:29" x14ac:dyDescent="0.3">
      <c r="AC331">
        <f>'معلومات الطلاب'!H330</f>
        <v>0</v>
      </c>
    </row>
    <row r="332" spans="29:29" x14ac:dyDescent="0.3">
      <c r="AC332">
        <f>'معلومات الطلاب'!H331</f>
        <v>0</v>
      </c>
    </row>
    <row r="333" spans="29:29" x14ac:dyDescent="0.3">
      <c r="AC333">
        <f>'معلومات الطلاب'!H332</f>
        <v>0</v>
      </c>
    </row>
    <row r="334" spans="29:29" x14ac:dyDescent="0.3">
      <c r="AC334">
        <f>'معلومات الطلاب'!H333</f>
        <v>0</v>
      </c>
    </row>
    <row r="335" spans="29:29" x14ac:dyDescent="0.3">
      <c r="AC335">
        <f>'معلومات الطلاب'!H334</f>
        <v>0</v>
      </c>
    </row>
    <row r="336" spans="29:29" x14ac:dyDescent="0.3">
      <c r="AC336">
        <f>'معلومات الطلاب'!H335</f>
        <v>0</v>
      </c>
    </row>
    <row r="337" spans="29:29" x14ac:dyDescent="0.3">
      <c r="AC337">
        <f>'معلومات الطلاب'!H336</f>
        <v>0</v>
      </c>
    </row>
    <row r="338" spans="29:29" x14ac:dyDescent="0.3">
      <c r="AC338">
        <f>'معلومات الطلاب'!H337</f>
        <v>0</v>
      </c>
    </row>
    <row r="339" spans="29:29" x14ac:dyDescent="0.3">
      <c r="AC339">
        <f>'معلومات الطلاب'!H338</f>
        <v>0</v>
      </c>
    </row>
    <row r="340" spans="29:29" x14ac:dyDescent="0.3">
      <c r="AC340">
        <f>'معلومات الطلاب'!H339</f>
        <v>0</v>
      </c>
    </row>
    <row r="341" spans="29:29" x14ac:dyDescent="0.3">
      <c r="AC341">
        <f>'معلومات الطلاب'!H340</f>
        <v>0</v>
      </c>
    </row>
    <row r="342" spans="29:29" x14ac:dyDescent="0.3">
      <c r="AC342">
        <f>'معلومات الطلاب'!H341</f>
        <v>0</v>
      </c>
    </row>
    <row r="343" spans="29:29" x14ac:dyDescent="0.3">
      <c r="AC343">
        <f>'معلومات الطلاب'!H342</f>
        <v>0</v>
      </c>
    </row>
    <row r="344" spans="29:29" x14ac:dyDescent="0.3">
      <c r="AC344">
        <f>'معلومات الطلاب'!H343</f>
        <v>0</v>
      </c>
    </row>
    <row r="345" spans="29:29" x14ac:dyDescent="0.3">
      <c r="AC345">
        <f>'معلومات الطلاب'!H344</f>
        <v>0</v>
      </c>
    </row>
    <row r="346" spans="29:29" x14ac:dyDescent="0.3">
      <c r="AC346">
        <f>'معلومات الطلاب'!H345</f>
        <v>0</v>
      </c>
    </row>
    <row r="347" spans="29:29" x14ac:dyDescent="0.3">
      <c r="AC347">
        <f>'معلومات الطلاب'!H346</f>
        <v>0</v>
      </c>
    </row>
    <row r="348" spans="29:29" x14ac:dyDescent="0.3">
      <c r="AC348">
        <f>'معلومات الطلاب'!H347</f>
        <v>0</v>
      </c>
    </row>
    <row r="349" spans="29:29" x14ac:dyDescent="0.3">
      <c r="AC349">
        <f>'معلومات الطلاب'!H348</f>
        <v>0</v>
      </c>
    </row>
    <row r="350" spans="29:29" x14ac:dyDescent="0.3">
      <c r="AC350">
        <f>'معلومات الطلاب'!H349</f>
        <v>0</v>
      </c>
    </row>
    <row r="351" spans="29:29" x14ac:dyDescent="0.3">
      <c r="AC351">
        <f>'معلومات الطلاب'!H350</f>
        <v>0</v>
      </c>
    </row>
    <row r="352" spans="29:29" x14ac:dyDescent="0.3">
      <c r="AC352">
        <f>'معلومات الطلاب'!H351</f>
        <v>0</v>
      </c>
    </row>
    <row r="353" spans="29:29" x14ac:dyDescent="0.3">
      <c r="AC353">
        <f>'معلومات الطلاب'!H352</f>
        <v>0</v>
      </c>
    </row>
    <row r="354" spans="29:29" x14ac:dyDescent="0.3">
      <c r="AC354">
        <f>'معلومات الطلاب'!H353</f>
        <v>0</v>
      </c>
    </row>
    <row r="355" spans="29:29" x14ac:dyDescent="0.3">
      <c r="AC355">
        <f>'معلومات الطلاب'!H354</f>
        <v>0</v>
      </c>
    </row>
    <row r="356" spans="29:29" x14ac:dyDescent="0.3">
      <c r="AC356">
        <f>'معلومات الطلاب'!H355</f>
        <v>0</v>
      </c>
    </row>
    <row r="357" spans="29:29" x14ac:dyDescent="0.3">
      <c r="AC357">
        <f>'معلومات الطلاب'!H356</f>
        <v>0</v>
      </c>
    </row>
    <row r="358" spans="29:29" x14ac:dyDescent="0.3">
      <c r="AC358">
        <f>'معلومات الطلاب'!H357</f>
        <v>0</v>
      </c>
    </row>
    <row r="359" spans="29:29" x14ac:dyDescent="0.3">
      <c r="AC359">
        <f>'معلومات الطلاب'!H358</f>
        <v>0</v>
      </c>
    </row>
    <row r="360" spans="29:29" x14ac:dyDescent="0.3">
      <c r="AC360">
        <f>'معلومات الطلاب'!H359</f>
        <v>0</v>
      </c>
    </row>
    <row r="361" spans="29:29" x14ac:dyDescent="0.3">
      <c r="AC361">
        <f>'معلومات الطلاب'!H360</f>
        <v>0</v>
      </c>
    </row>
    <row r="362" spans="29:29" x14ac:dyDescent="0.3">
      <c r="AC362">
        <f>'معلومات الطلاب'!H361</f>
        <v>0</v>
      </c>
    </row>
    <row r="363" spans="29:29" x14ac:dyDescent="0.3">
      <c r="AC363">
        <f>'معلومات الطلاب'!H362</f>
        <v>0</v>
      </c>
    </row>
    <row r="364" spans="29:29" x14ac:dyDescent="0.3">
      <c r="AC364">
        <f>'معلومات الطلاب'!H363</f>
        <v>0</v>
      </c>
    </row>
    <row r="365" spans="29:29" x14ac:dyDescent="0.3">
      <c r="AC365">
        <f>'معلومات الطلاب'!H364</f>
        <v>0</v>
      </c>
    </row>
    <row r="366" spans="29:29" x14ac:dyDescent="0.3">
      <c r="AC366">
        <f>'معلومات الطلاب'!H365</f>
        <v>0</v>
      </c>
    </row>
    <row r="367" spans="29:29" x14ac:dyDescent="0.3">
      <c r="AC367">
        <f>'معلومات الطلاب'!H366</f>
        <v>0</v>
      </c>
    </row>
    <row r="368" spans="29:29" x14ac:dyDescent="0.3">
      <c r="AC368">
        <f>'معلومات الطلاب'!H367</f>
        <v>0</v>
      </c>
    </row>
    <row r="369" spans="29:29" x14ac:dyDescent="0.3">
      <c r="AC369">
        <f>'معلومات الطلاب'!H368</f>
        <v>0</v>
      </c>
    </row>
    <row r="370" spans="29:29" x14ac:dyDescent="0.3">
      <c r="AC370">
        <f>'معلومات الطلاب'!H369</f>
        <v>0</v>
      </c>
    </row>
    <row r="371" spans="29:29" x14ac:dyDescent="0.3">
      <c r="AC371">
        <f>'معلومات الطلاب'!H370</f>
        <v>0</v>
      </c>
    </row>
    <row r="372" spans="29:29" x14ac:dyDescent="0.3">
      <c r="AC372">
        <f>'معلومات الطلاب'!H371</f>
        <v>0</v>
      </c>
    </row>
    <row r="373" spans="29:29" x14ac:dyDescent="0.3">
      <c r="AC373">
        <f>'معلومات الطلاب'!H372</f>
        <v>0</v>
      </c>
    </row>
    <row r="374" spans="29:29" x14ac:dyDescent="0.3">
      <c r="AC374">
        <f>'معلومات الطلاب'!H373</f>
        <v>0</v>
      </c>
    </row>
    <row r="375" spans="29:29" x14ac:dyDescent="0.3">
      <c r="AC375">
        <f>'معلومات الطلاب'!H374</f>
        <v>0</v>
      </c>
    </row>
    <row r="376" spans="29:29" x14ac:dyDescent="0.3">
      <c r="AC376">
        <f>'معلومات الطلاب'!H375</f>
        <v>0</v>
      </c>
    </row>
    <row r="377" spans="29:29" x14ac:dyDescent="0.3">
      <c r="AC377">
        <f>'معلومات الطلاب'!H376</f>
        <v>0</v>
      </c>
    </row>
    <row r="378" spans="29:29" x14ac:dyDescent="0.3">
      <c r="AC378">
        <f>'معلومات الطلاب'!H377</f>
        <v>0</v>
      </c>
    </row>
    <row r="379" spans="29:29" x14ac:dyDescent="0.3">
      <c r="AC379">
        <f>'معلومات الطلاب'!H378</f>
        <v>0</v>
      </c>
    </row>
    <row r="380" spans="29:29" x14ac:dyDescent="0.3">
      <c r="AC380">
        <f>'معلومات الطلاب'!H379</f>
        <v>0</v>
      </c>
    </row>
    <row r="381" spans="29:29" x14ac:dyDescent="0.3">
      <c r="AC381">
        <f>'معلومات الطلاب'!H380</f>
        <v>0</v>
      </c>
    </row>
    <row r="382" spans="29:29" x14ac:dyDescent="0.3">
      <c r="AC382">
        <f>'معلومات الطلاب'!H381</f>
        <v>0</v>
      </c>
    </row>
    <row r="383" spans="29:29" x14ac:dyDescent="0.3">
      <c r="AC383">
        <f>'معلومات الطلاب'!H382</f>
        <v>0</v>
      </c>
    </row>
    <row r="384" spans="29:29" x14ac:dyDescent="0.3">
      <c r="AC384">
        <f>'معلومات الطلاب'!H383</f>
        <v>0</v>
      </c>
    </row>
    <row r="385" spans="29:29" x14ac:dyDescent="0.3">
      <c r="AC385">
        <f>'معلومات الطلاب'!H384</f>
        <v>0</v>
      </c>
    </row>
    <row r="386" spans="29:29" x14ac:dyDescent="0.3">
      <c r="AC386">
        <f>'معلومات الطلاب'!H385</f>
        <v>0</v>
      </c>
    </row>
    <row r="387" spans="29:29" x14ac:dyDescent="0.3">
      <c r="AC387">
        <f>'معلومات الطلاب'!H386</f>
        <v>0</v>
      </c>
    </row>
    <row r="388" spans="29:29" x14ac:dyDescent="0.3">
      <c r="AC388">
        <f>'معلومات الطلاب'!H387</f>
        <v>0</v>
      </c>
    </row>
    <row r="389" spans="29:29" x14ac:dyDescent="0.3">
      <c r="AC389">
        <f>'معلومات الطلاب'!H388</f>
        <v>0</v>
      </c>
    </row>
    <row r="390" spans="29:29" x14ac:dyDescent="0.3">
      <c r="AC390">
        <f>'معلومات الطلاب'!H389</f>
        <v>0</v>
      </c>
    </row>
    <row r="391" spans="29:29" x14ac:dyDescent="0.3">
      <c r="AC391">
        <f>'معلومات الطلاب'!H390</f>
        <v>0</v>
      </c>
    </row>
    <row r="392" spans="29:29" x14ac:dyDescent="0.3">
      <c r="AC392">
        <f>'معلومات الطلاب'!H391</f>
        <v>0</v>
      </c>
    </row>
    <row r="393" spans="29:29" x14ac:dyDescent="0.3">
      <c r="AC393">
        <f>'معلومات الطلاب'!H392</f>
        <v>0</v>
      </c>
    </row>
    <row r="394" spans="29:29" x14ac:dyDescent="0.3">
      <c r="AC394">
        <f>'معلومات الطلاب'!H393</f>
        <v>0</v>
      </c>
    </row>
    <row r="395" spans="29:29" x14ac:dyDescent="0.3">
      <c r="AC395">
        <f>'معلومات الطلاب'!H394</f>
        <v>0</v>
      </c>
    </row>
    <row r="396" spans="29:29" x14ac:dyDescent="0.3">
      <c r="AC396">
        <f>'معلومات الطلاب'!H395</f>
        <v>0</v>
      </c>
    </row>
    <row r="397" spans="29:29" x14ac:dyDescent="0.3">
      <c r="AC397">
        <f>'معلومات الطلاب'!H396</f>
        <v>0</v>
      </c>
    </row>
    <row r="398" spans="29:29" x14ac:dyDescent="0.3">
      <c r="AC398">
        <f>'معلومات الطلاب'!H397</f>
        <v>0</v>
      </c>
    </row>
    <row r="399" spans="29:29" x14ac:dyDescent="0.3">
      <c r="AC399">
        <f>'معلومات الطلاب'!H398</f>
        <v>0</v>
      </c>
    </row>
    <row r="400" spans="29:29" x14ac:dyDescent="0.3">
      <c r="AC400">
        <f>'معلومات الطلاب'!H399</f>
        <v>0</v>
      </c>
    </row>
    <row r="401" spans="29:29" x14ac:dyDescent="0.3">
      <c r="AC401">
        <f>'معلومات الطلاب'!H400</f>
        <v>0</v>
      </c>
    </row>
    <row r="402" spans="29:29" x14ac:dyDescent="0.3">
      <c r="AC402">
        <f>'معلومات الطلاب'!H401</f>
        <v>0</v>
      </c>
    </row>
    <row r="403" spans="29:29" x14ac:dyDescent="0.3">
      <c r="AC403">
        <f>'معلومات الطلاب'!H402</f>
        <v>0</v>
      </c>
    </row>
    <row r="404" spans="29:29" x14ac:dyDescent="0.3">
      <c r="AC404">
        <f>'معلومات الطلاب'!H403</f>
        <v>0</v>
      </c>
    </row>
    <row r="405" spans="29:29" x14ac:dyDescent="0.3">
      <c r="AC405">
        <f>'معلومات الطلاب'!H404</f>
        <v>0</v>
      </c>
    </row>
    <row r="406" spans="29:29" x14ac:dyDescent="0.3">
      <c r="AC406">
        <f>'معلومات الطلاب'!H405</f>
        <v>0</v>
      </c>
    </row>
    <row r="407" spans="29:29" x14ac:dyDescent="0.3">
      <c r="AC407">
        <f>'معلومات الطلاب'!H406</f>
        <v>0</v>
      </c>
    </row>
    <row r="408" spans="29:29" x14ac:dyDescent="0.3">
      <c r="AC408">
        <f>'معلومات الطلاب'!H407</f>
        <v>0</v>
      </c>
    </row>
    <row r="409" spans="29:29" x14ac:dyDescent="0.3">
      <c r="AC409">
        <f>'معلومات الطلاب'!H408</f>
        <v>0</v>
      </c>
    </row>
    <row r="410" spans="29:29" x14ac:dyDescent="0.3">
      <c r="AC410">
        <f>'معلومات الطلاب'!H409</f>
        <v>0</v>
      </c>
    </row>
    <row r="411" spans="29:29" x14ac:dyDescent="0.3">
      <c r="AC411">
        <f>'معلومات الطلاب'!H410</f>
        <v>0</v>
      </c>
    </row>
  </sheetData>
  <mergeCells count="1">
    <mergeCell ref="A2:AB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411"/>
  <sheetViews>
    <sheetView rightToLeft="1" tabSelected="1" topLeftCell="N1" zoomScale="85" zoomScaleNormal="85" workbookViewId="0">
      <selection activeCell="B5" sqref="B5"/>
    </sheetView>
  </sheetViews>
  <sheetFormatPr defaultRowHeight="14.4" x14ac:dyDescent="0.3"/>
  <cols>
    <col min="1" max="1" width="6.33203125" customWidth="1"/>
    <col min="2" max="2" width="14.21875" bestFit="1" customWidth="1"/>
    <col min="3" max="3" width="22.77734375" customWidth="1"/>
    <col min="7" max="7" width="12.5546875" customWidth="1"/>
    <col min="9" max="9" width="12.5546875" customWidth="1"/>
    <col min="11" max="11" width="12.5546875" customWidth="1"/>
    <col min="13" max="13" width="12.5546875" customWidth="1"/>
    <col min="15" max="15" width="12.5546875" customWidth="1"/>
    <col min="16" max="16" width="12.33203125" customWidth="1"/>
    <col min="17" max="17" width="16" customWidth="1"/>
    <col min="18" max="18" width="12.21875" customWidth="1"/>
    <col min="19" max="19" width="15.88671875" customWidth="1"/>
    <col min="20" max="20" width="14" customWidth="1"/>
    <col min="21" max="21" width="17.6640625" customWidth="1"/>
    <col min="22" max="22" width="16.44140625" customWidth="1"/>
    <col min="23" max="23" width="20.109375" customWidth="1"/>
    <col min="24" max="24" width="15.88671875" customWidth="1"/>
    <col min="25" max="25" width="13.33203125" customWidth="1"/>
    <col min="26" max="26" width="13.21875" customWidth="1"/>
    <col min="27" max="27" width="11.6640625" customWidth="1"/>
    <col min="28" max="28" width="16.6640625" customWidth="1"/>
  </cols>
  <sheetData>
    <row r="2" spans="1:33" ht="26.4" thickBot="1" x14ac:dyDescent="0.55000000000000004">
      <c r="A2" s="8" t="s">
        <v>53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33" ht="15" thickBot="1" x14ac:dyDescent="0.35">
      <c r="A3" s="3" t="s">
        <v>39</v>
      </c>
      <c r="B3" s="3" t="s">
        <v>40</v>
      </c>
      <c r="C3" s="3" t="s">
        <v>3</v>
      </c>
      <c r="D3" s="3" t="s">
        <v>4</v>
      </c>
      <c r="E3" s="3" t="s">
        <v>5</v>
      </c>
      <c r="F3" s="3" t="s">
        <v>25</v>
      </c>
      <c r="G3" s="3" t="s">
        <v>41</v>
      </c>
      <c r="H3" s="3" t="s">
        <v>26</v>
      </c>
      <c r="I3" s="3" t="s">
        <v>42</v>
      </c>
      <c r="J3" s="3" t="s">
        <v>27</v>
      </c>
      <c r="K3" s="3" t="s">
        <v>43</v>
      </c>
      <c r="L3" s="3" t="s">
        <v>28</v>
      </c>
      <c r="M3" s="3" t="s">
        <v>44</v>
      </c>
      <c r="N3" s="3" t="s">
        <v>29</v>
      </c>
      <c r="O3" s="3" t="s">
        <v>45</v>
      </c>
      <c r="P3" s="3" t="s">
        <v>30</v>
      </c>
      <c r="Q3" s="3" t="s">
        <v>46</v>
      </c>
      <c r="R3" s="3" t="s">
        <v>31</v>
      </c>
      <c r="S3" s="3" t="s">
        <v>47</v>
      </c>
      <c r="T3" s="3" t="s">
        <v>32</v>
      </c>
      <c r="U3" s="3" t="s">
        <v>48</v>
      </c>
      <c r="V3" s="3" t="s">
        <v>33</v>
      </c>
      <c r="W3" s="3" t="s">
        <v>49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13" t="s">
        <v>57</v>
      </c>
      <c r="AD3" s="1"/>
      <c r="AE3" s="1"/>
      <c r="AF3" s="1"/>
      <c r="AG3" s="1"/>
    </row>
    <row r="4" spans="1:33" ht="15" thickBot="1" x14ac:dyDescent="0.35">
      <c r="A4">
        <f>'معلومات الطلاب'!A3</f>
        <v>1001</v>
      </c>
      <c r="B4" t="str">
        <f>'معلومات الطلاب'!B3</f>
        <v>سارة أحمد المحمد</v>
      </c>
      <c r="C4" t="str">
        <f>'معلومات الطلاب'!D3</f>
        <v>الخامس</v>
      </c>
      <c r="D4">
        <f>'معلومات الطلاب'!E3</f>
        <v>1</v>
      </c>
      <c r="E4" t="str">
        <f>'معلومات الطلاب'!F3</f>
        <v>رياضيات</v>
      </c>
      <c r="F4" s="2">
        <v>1</v>
      </c>
      <c r="G4" s="2">
        <v>5</v>
      </c>
      <c r="H4" s="2">
        <v>2</v>
      </c>
      <c r="I4" s="2">
        <v>5</v>
      </c>
      <c r="J4" s="2">
        <v>2</v>
      </c>
      <c r="K4" s="2">
        <v>5</v>
      </c>
      <c r="L4" s="2">
        <v>5</v>
      </c>
      <c r="M4" s="2">
        <v>5</v>
      </c>
      <c r="N4" s="2">
        <v>0</v>
      </c>
      <c r="O4">
        <v>0</v>
      </c>
      <c r="P4" s="2">
        <v>19</v>
      </c>
      <c r="Q4" s="4">
        <v>20</v>
      </c>
      <c r="R4" s="4">
        <v>18</v>
      </c>
      <c r="S4" s="5">
        <v>20</v>
      </c>
      <c r="T4" s="5">
        <v>0</v>
      </c>
      <c r="U4" s="5">
        <v>0</v>
      </c>
      <c r="V4" s="5">
        <v>40</v>
      </c>
      <c r="W4" s="6">
        <v>40</v>
      </c>
      <c r="X4">
        <f>F4+H4+J4+L4+N4+P4+R4+T4+V4</f>
        <v>87</v>
      </c>
      <c r="Y4">
        <f>G4+I4+K4+M4+O4+Q4+S4+U4+W4</f>
        <v>100</v>
      </c>
      <c r="Z4">
        <f>X4/Y4</f>
        <v>0.87</v>
      </c>
      <c r="AA4" t="str">
        <f>IF(Z4&gt;=0.9,"ممتاز",IF(Z4&gt;=0.8,"جيد جداً",IF(Z4&gt;=0.7,"جيد",IF(Z4&gt;=0.6,"مقبول","ضعيف"))))</f>
        <v>جيد جداً</v>
      </c>
      <c r="AB4" t="str">
        <f>IF(Z4&lt;0.6,"متعثر",IF(Z4&lt;0.8,"محتاج متابعة","لا يحتاج متابعة"))</f>
        <v>لا يحتاج متابعة</v>
      </c>
      <c r="AC4" t="str">
        <f>'معلومات الطلاب'!H4</f>
        <v>تحفيظ</v>
      </c>
    </row>
    <row r="5" spans="1:33" ht="15" thickBot="1" x14ac:dyDescent="0.35">
      <c r="A5">
        <f>'معلومات الطلاب'!A4</f>
        <v>1002</v>
      </c>
      <c r="B5" t="str">
        <f>'معلومات الطلاب'!B4</f>
        <v>نورة خالد العتيبي</v>
      </c>
      <c r="C5" t="str">
        <f>'معلومات الطلاب'!D4</f>
        <v>الخامس</v>
      </c>
      <c r="D5">
        <f>'معلومات الطلاب'!E4</f>
        <v>1</v>
      </c>
      <c r="E5" t="str">
        <f>'معلومات الطلاب'!F4</f>
        <v>رياضيات</v>
      </c>
      <c r="F5" s="2">
        <v>4</v>
      </c>
      <c r="G5" s="2">
        <v>5</v>
      </c>
      <c r="H5" s="2">
        <v>4</v>
      </c>
      <c r="I5" s="2">
        <v>5</v>
      </c>
      <c r="J5" s="2">
        <v>3</v>
      </c>
      <c r="K5" s="2">
        <v>5</v>
      </c>
      <c r="L5" s="2">
        <v>5</v>
      </c>
      <c r="M5" s="2">
        <v>5</v>
      </c>
      <c r="N5" s="2">
        <v>0</v>
      </c>
      <c r="O5">
        <v>0</v>
      </c>
      <c r="P5" s="2">
        <v>15</v>
      </c>
      <c r="Q5" s="4">
        <v>20</v>
      </c>
      <c r="R5" s="4">
        <v>15</v>
      </c>
      <c r="S5" s="5">
        <v>20</v>
      </c>
      <c r="T5" s="5">
        <v>0</v>
      </c>
      <c r="U5" s="5">
        <v>0</v>
      </c>
      <c r="V5" s="5">
        <v>40</v>
      </c>
      <c r="W5" s="6">
        <v>40</v>
      </c>
      <c r="X5">
        <f t="shared" ref="X5:Y13" si="0">F5+H5+J5+L5+N5+P5+R5+T5+V5</f>
        <v>86</v>
      </c>
      <c r="Y5">
        <f t="shared" si="0"/>
        <v>100</v>
      </c>
      <c r="Z5">
        <f t="shared" ref="Z5:Z13" si="1">X5/Y5</f>
        <v>0.86</v>
      </c>
      <c r="AA5" t="str">
        <f t="shared" ref="AA5:AA13" si="2">IF(Z5&gt;=0.9,"ممتاز",IF(Z5&gt;=0.8,"جيد جداً",IF(Z5&gt;=0.7,"جيد",IF(Z5&gt;=0.6,"مقبول","ضعيف"))))</f>
        <v>جيد جداً</v>
      </c>
      <c r="AB5" t="str">
        <f t="shared" ref="AB5:AB13" si="3">IF(Z5&lt;0.6,"متعثر",IF(Z5&lt;0.8,"محتاج متابعة","لا يحتاج متابعة"))</f>
        <v>لا يحتاج متابعة</v>
      </c>
      <c r="AC5" t="str">
        <f>'معلومات الطلاب'!H5</f>
        <v>تحفيظ</v>
      </c>
    </row>
    <row r="6" spans="1:33" ht="15" thickBot="1" x14ac:dyDescent="0.35">
      <c r="A6">
        <f>'معلومات الطلاب'!A5</f>
        <v>1003</v>
      </c>
      <c r="B6" t="str">
        <f>'معلومات الطلاب'!B5</f>
        <v>ريم عبد الله السبيعي</v>
      </c>
      <c r="C6" t="str">
        <f>'معلومات الطلاب'!D5</f>
        <v>الخامس</v>
      </c>
      <c r="D6">
        <f>'معلومات الطلاب'!E5</f>
        <v>1</v>
      </c>
      <c r="E6" t="str">
        <f>'معلومات الطلاب'!F5</f>
        <v>رياضيات</v>
      </c>
      <c r="F6" s="2">
        <v>5</v>
      </c>
      <c r="G6" s="2">
        <v>5</v>
      </c>
      <c r="H6" s="2">
        <v>5</v>
      </c>
      <c r="I6" s="2">
        <v>5</v>
      </c>
      <c r="J6" s="2">
        <v>3</v>
      </c>
      <c r="K6" s="2">
        <v>5</v>
      </c>
      <c r="L6" s="2">
        <v>4</v>
      </c>
      <c r="M6" s="2">
        <v>5</v>
      </c>
      <c r="N6" s="2">
        <v>0</v>
      </c>
      <c r="O6">
        <v>0</v>
      </c>
      <c r="P6" s="2">
        <v>16</v>
      </c>
      <c r="Q6" s="4">
        <v>20</v>
      </c>
      <c r="R6" s="4">
        <v>15</v>
      </c>
      <c r="S6" s="5">
        <v>20</v>
      </c>
      <c r="T6" s="5">
        <v>0</v>
      </c>
      <c r="U6" s="5">
        <v>0</v>
      </c>
      <c r="V6" s="5">
        <v>40</v>
      </c>
      <c r="W6" s="6">
        <v>40</v>
      </c>
      <c r="X6">
        <f t="shared" si="0"/>
        <v>88</v>
      </c>
      <c r="Y6">
        <f t="shared" si="0"/>
        <v>100</v>
      </c>
      <c r="Z6">
        <f t="shared" si="1"/>
        <v>0.88</v>
      </c>
      <c r="AA6" t="str">
        <f t="shared" si="2"/>
        <v>جيد جداً</v>
      </c>
      <c r="AB6" t="str">
        <f t="shared" si="3"/>
        <v>لا يحتاج متابعة</v>
      </c>
      <c r="AC6" t="str">
        <f>'معلومات الطلاب'!H6</f>
        <v>عام</v>
      </c>
    </row>
    <row r="7" spans="1:33" ht="15" thickBot="1" x14ac:dyDescent="0.35">
      <c r="A7">
        <f>'معلومات الطلاب'!A6</f>
        <v>1004</v>
      </c>
      <c r="B7" t="str">
        <f>'معلومات الطلاب'!B6</f>
        <v>شهد فهد القحطاني</v>
      </c>
      <c r="C7" t="str">
        <f>'معلومات الطلاب'!D6</f>
        <v>الخامس</v>
      </c>
      <c r="D7">
        <f>'معلومات الطلاب'!E6</f>
        <v>2</v>
      </c>
      <c r="E7" t="str">
        <f>'معلومات الطلاب'!F6</f>
        <v>رياضيات</v>
      </c>
      <c r="F7" s="2">
        <v>5</v>
      </c>
      <c r="G7" s="2">
        <v>5</v>
      </c>
      <c r="H7" s="2">
        <v>5</v>
      </c>
      <c r="I7" s="2">
        <v>5</v>
      </c>
      <c r="J7" s="2">
        <v>4</v>
      </c>
      <c r="K7" s="2">
        <v>5</v>
      </c>
      <c r="L7" s="2">
        <v>3</v>
      </c>
      <c r="M7" s="2">
        <v>5</v>
      </c>
      <c r="N7" s="2">
        <v>0</v>
      </c>
      <c r="O7">
        <v>0</v>
      </c>
      <c r="P7" s="2">
        <v>4</v>
      </c>
      <c r="Q7" s="4">
        <v>20</v>
      </c>
      <c r="R7" s="6">
        <v>10</v>
      </c>
      <c r="S7" s="5">
        <v>20</v>
      </c>
      <c r="T7" s="5">
        <v>0</v>
      </c>
      <c r="U7" s="5">
        <v>0</v>
      </c>
      <c r="V7" s="5">
        <v>40</v>
      </c>
      <c r="W7" s="6">
        <v>40</v>
      </c>
      <c r="X7">
        <f t="shared" si="0"/>
        <v>71</v>
      </c>
      <c r="Y7">
        <f t="shared" si="0"/>
        <v>100</v>
      </c>
      <c r="Z7">
        <f t="shared" si="1"/>
        <v>0.71</v>
      </c>
      <c r="AA7" t="str">
        <f t="shared" si="2"/>
        <v>جيد</v>
      </c>
      <c r="AB7" t="str">
        <f t="shared" si="3"/>
        <v>محتاج متابعة</v>
      </c>
      <c r="AC7" t="str">
        <f>'معلومات الطلاب'!H7</f>
        <v>تحفيظ</v>
      </c>
    </row>
    <row r="8" spans="1:33" ht="15" thickBot="1" x14ac:dyDescent="0.35">
      <c r="A8">
        <f>'معلومات الطلاب'!A7</f>
        <v>1005</v>
      </c>
      <c r="B8" t="str">
        <f>'معلومات الطلاب'!B7</f>
        <v>مريم علي الشهري</v>
      </c>
      <c r="C8" t="str">
        <f>'معلومات الطلاب'!D7</f>
        <v>الخامس</v>
      </c>
      <c r="D8">
        <f>'معلومات الطلاب'!E7</f>
        <v>2</v>
      </c>
      <c r="E8" t="str">
        <f>'معلومات الطلاب'!F7</f>
        <v>رياضيات</v>
      </c>
      <c r="F8" s="2">
        <v>2</v>
      </c>
      <c r="G8" s="2">
        <v>5</v>
      </c>
      <c r="H8" s="2">
        <v>2</v>
      </c>
      <c r="I8" s="2">
        <v>5</v>
      </c>
      <c r="J8" s="2">
        <v>1</v>
      </c>
      <c r="K8" s="2">
        <v>5</v>
      </c>
      <c r="L8" s="2">
        <v>3</v>
      </c>
      <c r="M8" s="2">
        <v>5</v>
      </c>
      <c r="N8" s="2">
        <v>0</v>
      </c>
      <c r="O8">
        <v>0</v>
      </c>
      <c r="P8" s="2">
        <v>13</v>
      </c>
      <c r="Q8" s="4">
        <v>20</v>
      </c>
      <c r="R8" s="6">
        <v>18</v>
      </c>
      <c r="S8" s="5">
        <v>20</v>
      </c>
      <c r="T8" s="5">
        <v>0</v>
      </c>
      <c r="U8" s="5">
        <v>0</v>
      </c>
      <c r="V8" s="5">
        <v>40</v>
      </c>
      <c r="W8" s="6">
        <v>40</v>
      </c>
      <c r="X8">
        <f t="shared" si="0"/>
        <v>79</v>
      </c>
      <c r="Y8">
        <f t="shared" si="0"/>
        <v>100</v>
      </c>
      <c r="Z8">
        <f t="shared" si="1"/>
        <v>0.79</v>
      </c>
      <c r="AA8" t="str">
        <f t="shared" si="2"/>
        <v>جيد</v>
      </c>
      <c r="AB8" t="str">
        <f t="shared" si="3"/>
        <v>محتاج متابعة</v>
      </c>
      <c r="AC8" t="str">
        <f>'معلومات الطلاب'!H8</f>
        <v>تحفيظ</v>
      </c>
    </row>
    <row r="9" spans="1:33" ht="15" thickBot="1" x14ac:dyDescent="0.35">
      <c r="A9">
        <f>'معلومات الطلاب'!A8</f>
        <v>1006</v>
      </c>
      <c r="B9" t="str">
        <f>'معلومات الطلاب'!B8</f>
        <v>أروى محمد الدوسري</v>
      </c>
      <c r="C9" t="str">
        <f>'معلومات الطلاب'!D8</f>
        <v>السادس</v>
      </c>
      <c r="D9">
        <f>'معلومات الطلاب'!E8</f>
        <v>1</v>
      </c>
      <c r="E9" t="str">
        <f>'معلومات الطلاب'!F8</f>
        <v>علوم</v>
      </c>
      <c r="F9" s="2">
        <v>1</v>
      </c>
      <c r="G9" s="2">
        <v>5</v>
      </c>
      <c r="H9" s="2">
        <v>5</v>
      </c>
      <c r="I9" s="2">
        <v>5</v>
      </c>
      <c r="J9" s="2">
        <v>3</v>
      </c>
      <c r="K9" s="2">
        <v>5</v>
      </c>
      <c r="L9" s="2">
        <v>3</v>
      </c>
      <c r="M9" s="2">
        <v>5</v>
      </c>
      <c r="N9" s="2">
        <v>0</v>
      </c>
      <c r="O9">
        <v>0</v>
      </c>
      <c r="P9" s="2">
        <v>18</v>
      </c>
      <c r="Q9" s="4">
        <v>20</v>
      </c>
      <c r="R9" s="6">
        <v>5</v>
      </c>
      <c r="S9" s="5">
        <v>20</v>
      </c>
      <c r="T9" s="5">
        <v>0</v>
      </c>
      <c r="U9" s="5">
        <v>0</v>
      </c>
      <c r="V9" s="5">
        <v>40</v>
      </c>
      <c r="W9" s="6">
        <v>40</v>
      </c>
      <c r="X9">
        <f t="shared" si="0"/>
        <v>75</v>
      </c>
      <c r="Y9">
        <f t="shared" si="0"/>
        <v>100</v>
      </c>
      <c r="Z9">
        <f t="shared" si="1"/>
        <v>0.75</v>
      </c>
      <c r="AA9" t="str">
        <f t="shared" si="2"/>
        <v>جيد</v>
      </c>
      <c r="AB9" t="str">
        <f t="shared" si="3"/>
        <v>محتاج متابعة</v>
      </c>
      <c r="AC9" t="str">
        <f>'معلومات الطلاب'!H9</f>
        <v>تحفيظ</v>
      </c>
    </row>
    <row r="10" spans="1:33" ht="15" thickBot="1" x14ac:dyDescent="0.35">
      <c r="A10">
        <f>'معلومات الطلاب'!A9</f>
        <v>1007</v>
      </c>
      <c r="B10" t="str">
        <f>'معلومات الطلاب'!B9</f>
        <v>لجين حمد العبد الله</v>
      </c>
      <c r="C10" t="str">
        <f>'معلومات الطلاب'!D9</f>
        <v>السادس</v>
      </c>
      <c r="D10">
        <f>'معلومات الطلاب'!E9</f>
        <v>1</v>
      </c>
      <c r="E10" t="str">
        <f>'معلومات الطلاب'!F9</f>
        <v>علوم</v>
      </c>
      <c r="F10" s="2">
        <v>1</v>
      </c>
      <c r="G10" s="2">
        <v>5</v>
      </c>
      <c r="H10" s="2">
        <v>2</v>
      </c>
      <c r="I10" s="2">
        <v>5</v>
      </c>
      <c r="J10" s="2">
        <v>4</v>
      </c>
      <c r="K10" s="2">
        <v>5</v>
      </c>
      <c r="L10" s="2">
        <v>3</v>
      </c>
      <c r="M10" s="2">
        <v>5</v>
      </c>
      <c r="N10" s="2">
        <v>0</v>
      </c>
      <c r="O10">
        <v>0</v>
      </c>
      <c r="P10" s="2">
        <v>16</v>
      </c>
      <c r="Q10" s="4">
        <v>20</v>
      </c>
      <c r="R10" s="6">
        <v>11</v>
      </c>
      <c r="S10" s="5">
        <v>20</v>
      </c>
      <c r="T10" s="5">
        <v>0</v>
      </c>
      <c r="U10" s="5">
        <v>0</v>
      </c>
      <c r="V10" s="5">
        <v>40</v>
      </c>
      <c r="W10" s="6">
        <v>40</v>
      </c>
      <c r="X10">
        <f t="shared" si="0"/>
        <v>77</v>
      </c>
      <c r="Y10">
        <f t="shared" si="0"/>
        <v>100</v>
      </c>
      <c r="Z10">
        <f t="shared" si="1"/>
        <v>0.77</v>
      </c>
      <c r="AA10" t="str">
        <f t="shared" si="2"/>
        <v>جيد</v>
      </c>
      <c r="AB10" t="str">
        <f t="shared" si="3"/>
        <v>محتاج متابعة</v>
      </c>
      <c r="AC10" t="str">
        <f>'معلومات الطلاب'!H10</f>
        <v>تحفيظ</v>
      </c>
    </row>
    <row r="11" spans="1:33" ht="15" thickBot="1" x14ac:dyDescent="0.35">
      <c r="A11">
        <f>'معلومات الطلاب'!A10</f>
        <v>1008</v>
      </c>
      <c r="B11" t="str">
        <f>'معلومات الطلاب'!B10</f>
        <v>جود سلطان العتيبي</v>
      </c>
      <c r="C11" t="str">
        <f>'معلومات الطلاب'!D10</f>
        <v>السادس</v>
      </c>
      <c r="D11">
        <f>'معلومات الطلاب'!E10</f>
        <v>1</v>
      </c>
      <c r="E11" t="str">
        <f>'معلومات الطلاب'!F10</f>
        <v>علوم</v>
      </c>
      <c r="F11" s="2">
        <v>2</v>
      </c>
      <c r="G11" s="2">
        <v>5</v>
      </c>
      <c r="H11" s="2">
        <v>4</v>
      </c>
      <c r="I11" s="2">
        <v>5</v>
      </c>
      <c r="J11" s="2">
        <v>2</v>
      </c>
      <c r="K11" s="2">
        <v>5</v>
      </c>
      <c r="L11" s="2">
        <v>3</v>
      </c>
      <c r="M11" s="2">
        <v>5</v>
      </c>
      <c r="N11" s="2">
        <v>0</v>
      </c>
      <c r="O11">
        <v>0</v>
      </c>
      <c r="P11" s="2">
        <v>3</v>
      </c>
      <c r="Q11" s="4">
        <v>20</v>
      </c>
      <c r="R11" s="6">
        <v>20</v>
      </c>
      <c r="S11" s="5">
        <v>20</v>
      </c>
      <c r="T11" s="5">
        <v>0</v>
      </c>
      <c r="U11" s="5">
        <v>0</v>
      </c>
      <c r="V11" s="5">
        <v>40</v>
      </c>
      <c r="W11" s="6">
        <v>40</v>
      </c>
      <c r="X11">
        <f t="shared" si="0"/>
        <v>74</v>
      </c>
      <c r="Y11">
        <f t="shared" si="0"/>
        <v>100</v>
      </c>
      <c r="Z11">
        <f t="shared" si="1"/>
        <v>0.74</v>
      </c>
      <c r="AA11" t="str">
        <f t="shared" si="2"/>
        <v>جيد</v>
      </c>
      <c r="AB11" t="str">
        <f t="shared" si="3"/>
        <v>محتاج متابعة</v>
      </c>
      <c r="AC11" t="str">
        <f>'معلومات الطلاب'!H11</f>
        <v>تحفيظ</v>
      </c>
    </row>
    <row r="12" spans="1:33" ht="15" thickBot="1" x14ac:dyDescent="0.35">
      <c r="A12">
        <f>'معلومات الطلاب'!A11</f>
        <v>1009</v>
      </c>
      <c r="B12" t="str">
        <f>'معلومات الطلاب'!B11</f>
        <v>حلا يوسف المطر</v>
      </c>
      <c r="C12" t="str">
        <f>'معلومات الطلاب'!D11</f>
        <v>السادس</v>
      </c>
      <c r="D12">
        <f>'معلومات الطلاب'!E11</f>
        <v>2</v>
      </c>
      <c r="E12" t="str">
        <f>'معلومات الطلاب'!F11</f>
        <v>علوم</v>
      </c>
      <c r="F12" s="2">
        <v>5</v>
      </c>
      <c r="G12" s="2">
        <v>5</v>
      </c>
      <c r="H12" s="2">
        <v>1</v>
      </c>
      <c r="I12" s="2">
        <v>5</v>
      </c>
      <c r="J12" s="2">
        <v>5</v>
      </c>
      <c r="K12" s="2">
        <v>5</v>
      </c>
      <c r="L12" s="2">
        <v>3</v>
      </c>
      <c r="M12" s="2">
        <v>5</v>
      </c>
      <c r="N12" s="2">
        <v>0</v>
      </c>
      <c r="O12">
        <v>0</v>
      </c>
      <c r="P12" s="2">
        <v>6</v>
      </c>
      <c r="Q12" s="4">
        <v>20</v>
      </c>
      <c r="R12" s="6">
        <v>13</v>
      </c>
      <c r="S12" s="5">
        <v>20</v>
      </c>
      <c r="T12" s="5">
        <v>0</v>
      </c>
      <c r="U12" s="5">
        <v>0</v>
      </c>
      <c r="V12" s="5">
        <v>40</v>
      </c>
      <c r="W12" s="6">
        <v>40</v>
      </c>
      <c r="X12">
        <f t="shared" si="0"/>
        <v>73</v>
      </c>
      <c r="Y12">
        <f t="shared" si="0"/>
        <v>100</v>
      </c>
      <c r="Z12">
        <f t="shared" si="1"/>
        <v>0.73</v>
      </c>
      <c r="AA12" t="str">
        <f t="shared" si="2"/>
        <v>جيد</v>
      </c>
      <c r="AB12" t="str">
        <f t="shared" si="3"/>
        <v>محتاج متابعة</v>
      </c>
      <c r="AC12" t="str">
        <f>'معلومات الطلاب'!H12</f>
        <v>عام</v>
      </c>
    </row>
    <row r="13" spans="1:33" ht="15" thickBot="1" x14ac:dyDescent="0.35">
      <c r="A13">
        <f>'معلومات الطلاب'!A12</f>
        <v>1010</v>
      </c>
      <c r="B13" t="str">
        <f>'معلومات الطلاب'!B12</f>
        <v>غادة إبراهيم الزهراني</v>
      </c>
      <c r="C13" t="str">
        <f>'معلومات الطلاب'!D12</f>
        <v>السادس</v>
      </c>
      <c r="D13">
        <f>'معلومات الطلاب'!E12</f>
        <v>2</v>
      </c>
      <c r="E13" t="str">
        <f>'معلومات الطلاب'!F12</f>
        <v>علوم</v>
      </c>
      <c r="F13" s="2">
        <v>3</v>
      </c>
      <c r="G13" s="2">
        <v>5</v>
      </c>
      <c r="H13" s="2">
        <v>1</v>
      </c>
      <c r="I13" s="2">
        <v>5</v>
      </c>
      <c r="J13" s="2">
        <v>5</v>
      </c>
      <c r="K13" s="2">
        <v>5</v>
      </c>
      <c r="L13" s="2">
        <v>3</v>
      </c>
      <c r="M13" s="2">
        <v>5</v>
      </c>
      <c r="N13" s="2">
        <v>0</v>
      </c>
      <c r="O13">
        <v>0</v>
      </c>
      <c r="P13" s="2">
        <v>11</v>
      </c>
      <c r="Q13" s="4">
        <v>20</v>
      </c>
      <c r="R13" s="6">
        <v>15</v>
      </c>
      <c r="S13" s="5">
        <v>20</v>
      </c>
      <c r="T13" s="5">
        <v>0</v>
      </c>
      <c r="U13" s="5">
        <v>0</v>
      </c>
      <c r="V13" s="5">
        <v>40</v>
      </c>
      <c r="W13" s="6">
        <v>40</v>
      </c>
      <c r="X13">
        <f t="shared" si="0"/>
        <v>78</v>
      </c>
      <c r="Y13">
        <f t="shared" si="0"/>
        <v>100</v>
      </c>
      <c r="Z13">
        <f t="shared" si="1"/>
        <v>0.78</v>
      </c>
      <c r="AA13" t="str">
        <f t="shared" si="2"/>
        <v>جيد</v>
      </c>
      <c r="AB13" t="str">
        <f t="shared" si="3"/>
        <v>محتاج متابعة</v>
      </c>
      <c r="AC13" t="str">
        <f>'معلومات الطلاب'!H13</f>
        <v>عام</v>
      </c>
    </row>
    <row r="14" spans="1:33" x14ac:dyDescent="0.3">
      <c r="A14">
        <f>'معلومات الطلاب'!A13</f>
        <v>1011</v>
      </c>
      <c r="B14" t="str">
        <f>'معلومات الطلاب'!B13</f>
        <v>نوهان ثروت علي</v>
      </c>
      <c r="C14" t="str">
        <f>'معلومات الطلاب'!D13</f>
        <v>السادس</v>
      </c>
      <c r="D14">
        <f>'معلومات الطلاب'!E13</f>
        <v>2</v>
      </c>
      <c r="E14" t="str">
        <f>'معلومات الطلاب'!F13</f>
        <v>علوم</v>
      </c>
      <c r="AC14" t="str">
        <f>'معلومات الطلاب'!H14</f>
        <v>عام</v>
      </c>
    </row>
    <row r="15" spans="1:33" x14ac:dyDescent="0.3">
      <c r="A15">
        <f>'معلومات الطلاب'!A14</f>
        <v>1012</v>
      </c>
      <c r="B15" t="str">
        <f>'معلومات الطلاب'!B14</f>
        <v>سلمى محمد على يوسف</v>
      </c>
      <c r="C15" t="str">
        <f>'معلومات الطلاب'!D14</f>
        <v>السادس</v>
      </c>
      <c r="D15">
        <f>'معلومات الطلاب'!E14</f>
        <v>1</v>
      </c>
      <c r="E15" t="str">
        <f>'معلومات الطلاب'!F14</f>
        <v>لغتي</v>
      </c>
      <c r="AC15">
        <f>'معلومات الطلاب'!H15</f>
        <v>0</v>
      </c>
    </row>
    <row r="16" spans="1:33" x14ac:dyDescent="0.3">
      <c r="A16">
        <f>'معلومات الطلاب'!A16</f>
        <v>0</v>
      </c>
      <c r="B16">
        <f>'معلومات الطلاب'!B16</f>
        <v>0</v>
      </c>
      <c r="C16">
        <f>'معلومات الطلاب'!D16</f>
        <v>0</v>
      </c>
      <c r="D16">
        <f>'معلومات الطلاب'!E16</f>
        <v>0</v>
      </c>
      <c r="E16">
        <f>'معلومات الطلاب'!F16</f>
        <v>0</v>
      </c>
      <c r="AC16">
        <f>'معلومات الطلاب'!H16</f>
        <v>0</v>
      </c>
    </row>
    <row r="17" spans="1:29" x14ac:dyDescent="0.3">
      <c r="A17">
        <f>'معلومات الطلاب'!A17</f>
        <v>0</v>
      </c>
      <c r="B17">
        <f>'معلومات الطلاب'!B17</f>
        <v>0</v>
      </c>
      <c r="C17">
        <f>'معلومات الطلاب'!D17</f>
        <v>0</v>
      </c>
      <c r="D17">
        <f>'معلومات الطلاب'!E17</f>
        <v>0</v>
      </c>
      <c r="E17">
        <f>'معلومات الطلاب'!F17</f>
        <v>0</v>
      </c>
      <c r="AC17">
        <f>'معلومات الطلاب'!H17</f>
        <v>0</v>
      </c>
    </row>
    <row r="18" spans="1:29" x14ac:dyDescent="0.3">
      <c r="A18">
        <f>'معلومات الطلاب'!A18</f>
        <v>0</v>
      </c>
      <c r="B18">
        <f>'معلومات الطلاب'!B18</f>
        <v>0</v>
      </c>
      <c r="C18">
        <f>'معلومات الطلاب'!D18</f>
        <v>0</v>
      </c>
      <c r="D18">
        <f>'معلومات الطلاب'!E18</f>
        <v>0</v>
      </c>
      <c r="E18">
        <f>'معلومات الطلاب'!F18</f>
        <v>0</v>
      </c>
      <c r="AC18">
        <f>'معلومات الطلاب'!H18</f>
        <v>0</v>
      </c>
    </row>
    <row r="19" spans="1:29" x14ac:dyDescent="0.3">
      <c r="A19">
        <f>'معلومات الطلاب'!A19</f>
        <v>0</v>
      </c>
      <c r="B19">
        <f>'معلومات الطلاب'!B19</f>
        <v>0</v>
      </c>
      <c r="C19">
        <f>'معلومات الطلاب'!D19</f>
        <v>0</v>
      </c>
      <c r="D19">
        <f>'معلومات الطلاب'!E19</f>
        <v>0</v>
      </c>
      <c r="E19">
        <f>'معلومات الطلاب'!F19</f>
        <v>0</v>
      </c>
      <c r="AC19">
        <f>'معلومات الطلاب'!H19</f>
        <v>0</v>
      </c>
    </row>
    <row r="20" spans="1:29" x14ac:dyDescent="0.3">
      <c r="A20">
        <f>'معلومات الطلاب'!A20</f>
        <v>0</v>
      </c>
      <c r="B20">
        <f>'معلومات الطلاب'!B20</f>
        <v>0</v>
      </c>
      <c r="C20">
        <f>'معلومات الطلاب'!D20</f>
        <v>0</v>
      </c>
      <c r="D20">
        <f>'معلومات الطلاب'!E20</f>
        <v>0</v>
      </c>
      <c r="E20">
        <f>'معلومات الطلاب'!F20</f>
        <v>0</v>
      </c>
      <c r="AC20">
        <f>'معلومات الطلاب'!H20</f>
        <v>0</v>
      </c>
    </row>
    <row r="21" spans="1:29" x14ac:dyDescent="0.3">
      <c r="A21">
        <f>'معلومات الطلاب'!A21</f>
        <v>0</v>
      </c>
      <c r="B21">
        <f>'معلومات الطلاب'!B21</f>
        <v>0</v>
      </c>
      <c r="C21">
        <f>'معلومات الطلاب'!D21</f>
        <v>0</v>
      </c>
      <c r="D21">
        <f>'معلومات الطلاب'!E21</f>
        <v>0</v>
      </c>
      <c r="E21">
        <f>'معلومات الطلاب'!F21</f>
        <v>0</v>
      </c>
      <c r="AC21">
        <f>'معلومات الطلاب'!H21</f>
        <v>0</v>
      </c>
    </row>
    <row r="22" spans="1:29" x14ac:dyDescent="0.3">
      <c r="A22">
        <f>'معلومات الطلاب'!A22</f>
        <v>0</v>
      </c>
      <c r="B22">
        <f>'معلومات الطلاب'!B22</f>
        <v>0</v>
      </c>
      <c r="C22">
        <f>'معلومات الطلاب'!D22</f>
        <v>0</v>
      </c>
      <c r="D22">
        <f>'معلومات الطلاب'!E22</f>
        <v>0</v>
      </c>
      <c r="E22">
        <f>'معلومات الطلاب'!F22</f>
        <v>0</v>
      </c>
      <c r="AC22">
        <f>'معلومات الطلاب'!H22</f>
        <v>0</v>
      </c>
    </row>
    <row r="23" spans="1:29" x14ac:dyDescent="0.3">
      <c r="A23">
        <f>'معلومات الطلاب'!A23</f>
        <v>0</v>
      </c>
      <c r="B23">
        <f>'معلومات الطلاب'!B23</f>
        <v>0</v>
      </c>
      <c r="C23">
        <f>'معلومات الطلاب'!D23</f>
        <v>0</v>
      </c>
      <c r="D23">
        <f>'معلومات الطلاب'!E23</f>
        <v>0</v>
      </c>
      <c r="E23">
        <f>'معلومات الطلاب'!F23</f>
        <v>0</v>
      </c>
      <c r="AC23">
        <f>'معلومات الطلاب'!H23</f>
        <v>0</v>
      </c>
    </row>
    <row r="24" spans="1:29" x14ac:dyDescent="0.3">
      <c r="A24">
        <f>'معلومات الطلاب'!A24</f>
        <v>0</v>
      </c>
      <c r="B24">
        <f>'معلومات الطلاب'!B24</f>
        <v>0</v>
      </c>
      <c r="C24">
        <f>'معلومات الطلاب'!D24</f>
        <v>0</v>
      </c>
      <c r="D24">
        <f>'معلومات الطلاب'!E24</f>
        <v>0</v>
      </c>
      <c r="E24">
        <f>'معلومات الطلاب'!F24</f>
        <v>0</v>
      </c>
      <c r="AC24">
        <f>'معلومات الطلاب'!H24</f>
        <v>0</v>
      </c>
    </row>
    <row r="25" spans="1:29" x14ac:dyDescent="0.3">
      <c r="A25">
        <f>'معلومات الطلاب'!A25</f>
        <v>0</v>
      </c>
      <c r="B25">
        <f>'معلومات الطلاب'!B25</f>
        <v>0</v>
      </c>
      <c r="C25">
        <f>'معلومات الطلاب'!D25</f>
        <v>0</v>
      </c>
      <c r="D25">
        <f>'معلومات الطلاب'!E25</f>
        <v>0</v>
      </c>
      <c r="E25">
        <f>'معلومات الطلاب'!F25</f>
        <v>0</v>
      </c>
      <c r="AC25">
        <f>'معلومات الطلاب'!H25</f>
        <v>0</v>
      </c>
    </row>
    <row r="26" spans="1:29" ht="15" thickBot="1" x14ac:dyDescent="0.35">
      <c r="A26">
        <f>'معلومات الطلاب'!A26</f>
        <v>0</v>
      </c>
      <c r="B26">
        <f>'معلومات الطلاب'!B26</f>
        <v>0</v>
      </c>
      <c r="C26">
        <f>'معلومات الطلاب'!D26</f>
        <v>0</v>
      </c>
      <c r="D26">
        <f>'معلومات الطلاب'!E26</f>
        <v>0</v>
      </c>
      <c r="E26">
        <f>'معلومات الطلاب'!F26</f>
        <v>0</v>
      </c>
      <c r="AC26">
        <f>'معلومات الطلاب'!H26</f>
        <v>0</v>
      </c>
    </row>
    <row r="27" spans="1:29" ht="15" thickBot="1" x14ac:dyDescent="0.35">
      <c r="A27">
        <f>'معلومات الطلاب'!A27</f>
        <v>0</v>
      </c>
      <c r="B27">
        <f>'معلومات الطلاب'!B27</f>
        <v>0</v>
      </c>
      <c r="C27">
        <f>'معلومات الطلاب'!D27</f>
        <v>0</v>
      </c>
      <c r="D27">
        <f>'معلومات الطلاب'!E27</f>
        <v>0</v>
      </c>
      <c r="E27">
        <f>'معلومات الطلاب'!F27</f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AC27">
        <f>'معلومات الطلاب'!H27</f>
        <v>0</v>
      </c>
    </row>
    <row r="28" spans="1:29" ht="15" thickBot="1" x14ac:dyDescent="0.35">
      <c r="N28" s="2"/>
      <c r="O28" s="2"/>
      <c r="P28" s="2"/>
      <c r="Q28" s="2"/>
      <c r="R28" s="2"/>
      <c r="S28" s="2"/>
      <c r="T28" s="2"/>
      <c r="U28" s="2"/>
      <c r="V28" s="2"/>
      <c r="W28" s="2"/>
      <c r="AC28">
        <f>'معلومات الطلاب'!H28</f>
        <v>0</v>
      </c>
    </row>
    <row r="29" spans="1:29" ht="15" thickBot="1" x14ac:dyDescent="0.35">
      <c r="N29" s="2"/>
      <c r="O29" s="2"/>
      <c r="P29" s="2"/>
      <c r="Q29" s="2"/>
      <c r="R29" s="2"/>
      <c r="S29" s="2"/>
      <c r="T29" s="2"/>
      <c r="U29" s="2"/>
      <c r="V29" s="2"/>
      <c r="W29" s="2"/>
      <c r="AC29">
        <f>'معلومات الطلاب'!H29</f>
        <v>0</v>
      </c>
    </row>
    <row r="30" spans="1:29" ht="15" thickBot="1" x14ac:dyDescent="0.35">
      <c r="N30" s="2"/>
      <c r="O30" s="2"/>
      <c r="P30" s="2"/>
      <c r="Q30" s="2"/>
      <c r="R30" s="2"/>
      <c r="S30" s="2"/>
      <c r="T30" s="2"/>
      <c r="U30" s="2"/>
      <c r="V30" s="2"/>
      <c r="W30" s="2"/>
      <c r="AC30">
        <f>'معلومات الطلاب'!H30</f>
        <v>0</v>
      </c>
    </row>
    <row r="31" spans="1:29" ht="15" thickBot="1" x14ac:dyDescent="0.35">
      <c r="N31" s="2"/>
      <c r="O31" s="2"/>
      <c r="P31" s="2"/>
      <c r="Q31" s="2"/>
      <c r="R31" s="2"/>
      <c r="S31" s="2"/>
      <c r="T31" s="2"/>
      <c r="U31" s="2"/>
      <c r="V31" s="2"/>
      <c r="W31" s="2"/>
      <c r="AC31">
        <f>'معلومات الطلاب'!H31</f>
        <v>0</v>
      </c>
    </row>
    <row r="32" spans="1:29" ht="15" thickBot="1" x14ac:dyDescent="0.35">
      <c r="N32" s="2"/>
      <c r="O32" s="2"/>
      <c r="P32" s="2"/>
      <c r="Q32" s="2"/>
      <c r="R32" s="2"/>
      <c r="S32" s="2"/>
      <c r="T32" s="2"/>
      <c r="U32" s="2"/>
      <c r="V32" s="2"/>
      <c r="W32" s="2"/>
      <c r="AC32">
        <f>'معلومات الطلاب'!H32</f>
        <v>0</v>
      </c>
    </row>
    <row r="33" spans="14:29" ht="15" thickBot="1" x14ac:dyDescent="0.35">
      <c r="N33" s="2"/>
      <c r="O33" s="2"/>
      <c r="P33" s="2"/>
      <c r="Q33" s="2"/>
      <c r="R33" s="2"/>
      <c r="S33" s="2"/>
      <c r="T33" s="2"/>
      <c r="U33" s="2"/>
      <c r="V33" s="2"/>
      <c r="W33" s="2"/>
      <c r="AC33">
        <f>'معلومات الطلاب'!H33</f>
        <v>0</v>
      </c>
    </row>
    <row r="34" spans="14:29" ht="15" thickBot="1" x14ac:dyDescent="0.35">
      <c r="N34" s="2"/>
      <c r="O34" s="2"/>
      <c r="P34" s="2"/>
      <c r="Q34" s="2"/>
      <c r="R34" s="2"/>
      <c r="S34" s="2"/>
      <c r="T34" s="2"/>
      <c r="U34" s="2"/>
      <c r="V34" s="2"/>
      <c r="W34" s="2"/>
      <c r="AC34">
        <f>'معلومات الطلاب'!H34</f>
        <v>0</v>
      </c>
    </row>
    <row r="35" spans="14:29" ht="15" thickBot="1" x14ac:dyDescent="0.35">
      <c r="N35" s="2"/>
      <c r="O35" s="2"/>
      <c r="P35" s="2"/>
      <c r="Q35" s="2"/>
      <c r="R35" s="2"/>
      <c r="S35" s="2"/>
      <c r="T35" s="2"/>
      <c r="U35" s="2"/>
      <c r="V35" s="2"/>
      <c r="W35" s="2"/>
      <c r="AC35">
        <f>'معلومات الطلاب'!H35</f>
        <v>0</v>
      </c>
    </row>
    <row r="36" spans="14:29" ht="15" thickBot="1" x14ac:dyDescent="0.35">
      <c r="N36" s="2"/>
      <c r="O36" s="2"/>
      <c r="P36" s="2"/>
      <c r="Q36" s="2"/>
      <c r="R36" s="2"/>
      <c r="S36" s="2"/>
      <c r="T36" s="2"/>
      <c r="U36" s="2"/>
      <c r="V36" s="2"/>
      <c r="W36" s="2"/>
      <c r="AC36">
        <f>'معلومات الطلاب'!H36</f>
        <v>0</v>
      </c>
    </row>
    <row r="37" spans="14:29" ht="15" thickBot="1" x14ac:dyDescent="0.35">
      <c r="N37" s="2"/>
      <c r="O37" s="2"/>
      <c r="P37" s="2"/>
      <c r="Q37" s="2"/>
      <c r="R37" s="2"/>
      <c r="S37" s="2"/>
      <c r="T37" s="2"/>
      <c r="U37" s="2"/>
      <c r="V37" s="2"/>
      <c r="W37" s="2"/>
      <c r="AC37">
        <f>'معلومات الطلاب'!H37</f>
        <v>0</v>
      </c>
    </row>
    <row r="38" spans="14:29" x14ac:dyDescent="0.3">
      <c r="AC38">
        <f>'معلومات الطلاب'!H38</f>
        <v>0</v>
      </c>
    </row>
    <row r="39" spans="14:29" x14ac:dyDescent="0.3">
      <c r="AC39">
        <f>'معلومات الطلاب'!H39</f>
        <v>0</v>
      </c>
    </row>
    <row r="40" spans="14:29" x14ac:dyDescent="0.3">
      <c r="AC40">
        <f>'معلومات الطلاب'!H40</f>
        <v>0</v>
      </c>
    </row>
    <row r="41" spans="14:29" x14ac:dyDescent="0.3">
      <c r="AC41">
        <f>'معلومات الطلاب'!H41</f>
        <v>0</v>
      </c>
    </row>
    <row r="42" spans="14:29" x14ac:dyDescent="0.3">
      <c r="AC42">
        <f>'معلومات الطلاب'!H42</f>
        <v>0</v>
      </c>
    </row>
    <row r="43" spans="14:29" x14ac:dyDescent="0.3">
      <c r="AC43">
        <f>'معلومات الطلاب'!H43</f>
        <v>0</v>
      </c>
    </row>
    <row r="44" spans="14:29" x14ac:dyDescent="0.3">
      <c r="AC44">
        <f>'معلومات الطلاب'!H44</f>
        <v>0</v>
      </c>
    </row>
    <row r="45" spans="14:29" x14ac:dyDescent="0.3">
      <c r="AC45">
        <f>'معلومات الطلاب'!H45</f>
        <v>0</v>
      </c>
    </row>
    <row r="46" spans="14:29" x14ac:dyDescent="0.3">
      <c r="AC46">
        <f>'معلومات الطلاب'!H46</f>
        <v>0</v>
      </c>
    </row>
    <row r="47" spans="14:29" x14ac:dyDescent="0.3">
      <c r="AC47">
        <f>'معلومات الطلاب'!H47</f>
        <v>0</v>
      </c>
    </row>
    <row r="48" spans="14:29" x14ac:dyDescent="0.3">
      <c r="AC48">
        <f>'معلومات الطلاب'!H48</f>
        <v>0</v>
      </c>
    </row>
    <row r="49" spans="29:29" x14ac:dyDescent="0.3">
      <c r="AC49">
        <f>'معلومات الطلاب'!H49</f>
        <v>0</v>
      </c>
    </row>
    <row r="50" spans="29:29" x14ac:dyDescent="0.3">
      <c r="AC50">
        <f>'معلومات الطلاب'!H50</f>
        <v>0</v>
      </c>
    </row>
    <row r="51" spans="29:29" x14ac:dyDescent="0.3">
      <c r="AC51">
        <f>'معلومات الطلاب'!H51</f>
        <v>0</v>
      </c>
    </row>
    <row r="52" spans="29:29" x14ac:dyDescent="0.3">
      <c r="AC52">
        <f>'معلومات الطلاب'!H52</f>
        <v>0</v>
      </c>
    </row>
    <row r="53" spans="29:29" x14ac:dyDescent="0.3">
      <c r="AC53">
        <f>'معلومات الطلاب'!H53</f>
        <v>0</v>
      </c>
    </row>
    <row r="54" spans="29:29" x14ac:dyDescent="0.3">
      <c r="AC54">
        <f>'معلومات الطلاب'!H54</f>
        <v>0</v>
      </c>
    </row>
    <row r="55" spans="29:29" x14ac:dyDescent="0.3">
      <c r="AC55">
        <f>'معلومات الطلاب'!H55</f>
        <v>0</v>
      </c>
    </row>
    <row r="56" spans="29:29" x14ac:dyDescent="0.3">
      <c r="AC56">
        <f>'معلومات الطلاب'!H56</f>
        <v>0</v>
      </c>
    </row>
    <row r="57" spans="29:29" x14ac:dyDescent="0.3">
      <c r="AC57">
        <f>'معلومات الطلاب'!H57</f>
        <v>0</v>
      </c>
    </row>
    <row r="58" spans="29:29" x14ac:dyDescent="0.3">
      <c r="AC58">
        <f>'معلومات الطلاب'!H58</f>
        <v>0</v>
      </c>
    </row>
    <row r="59" spans="29:29" x14ac:dyDescent="0.3">
      <c r="AC59">
        <f>'معلومات الطلاب'!H59</f>
        <v>0</v>
      </c>
    </row>
    <row r="60" spans="29:29" x14ac:dyDescent="0.3">
      <c r="AC60">
        <f>'معلومات الطلاب'!H60</f>
        <v>0</v>
      </c>
    </row>
    <row r="61" spans="29:29" x14ac:dyDescent="0.3">
      <c r="AC61">
        <f>'معلومات الطلاب'!H61</f>
        <v>0</v>
      </c>
    </row>
    <row r="62" spans="29:29" x14ac:dyDescent="0.3">
      <c r="AC62">
        <f>'معلومات الطلاب'!H62</f>
        <v>0</v>
      </c>
    </row>
    <row r="63" spans="29:29" x14ac:dyDescent="0.3">
      <c r="AC63">
        <f>'معلومات الطلاب'!H63</f>
        <v>0</v>
      </c>
    </row>
    <row r="64" spans="29:29" x14ac:dyDescent="0.3">
      <c r="AC64">
        <f>'معلومات الطلاب'!H64</f>
        <v>0</v>
      </c>
    </row>
    <row r="65" spans="29:29" x14ac:dyDescent="0.3">
      <c r="AC65">
        <f>'معلومات الطلاب'!H65</f>
        <v>0</v>
      </c>
    </row>
    <row r="66" spans="29:29" x14ac:dyDescent="0.3">
      <c r="AC66">
        <f>'معلومات الطلاب'!H66</f>
        <v>0</v>
      </c>
    </row>
    <row r="67" spans="29:29" x14ac:dyDescent="0.3">
      <c r="AC67">
        <f>'معلومات الطلاب'!H67</f>
        <v>0</v>
      </c>
    </row>
    <row r="68" spans="29:29" x14ac:dyDescent="0.3">
      <c r="AC68">
        <f>'معلومات الطلاب'!H68</f>
        <v>0</v>
      </c>
    </row>
    <row r="69" spans="29:29" x14ac:dyDescent="0.3">
      <c r="AC69">
        <f>'معلومات الطلاب'!H69</f>
        <v>0</v>
      </c>
    </row>
    <row r="70" spans="29:29" x14ac:dyDescent="0.3">
      <c r="AC70">
        <f>'معلومات الطلاب'!H70</f>
        <v>0</v>
      </c>
    </row>
    <row r="71" spans="29:29" x14ac:dyDescent="0.3">
      <c r="AC71">
        <f>'معلومات الطلاب'!H71</f>
        <v>0</v>
      </c>
    </row>
    <row r="72" spans="29:29" x14ac:dyDescent="0.3">
      <c r="AC72">
        <f>'معلومات الطلاب'!H72</f>
        <v>0</v>
      </c>
    </row>
    <row r="73" spans="29:29" x14ac:dyDescent="0.3">
      <c r="AC73">
        <f>'معلومات الطلاب'!H73</f>
        <v>0</v>
      </c>
    </row>
    <row r="74" spans="29:29" x14ac:dyDescent="0.3">
      <c r="AC74">
        <f>'معلومات الطلاب'!H74</f>
        <v>0</v>
      </c>
    </row>
    <row r="75" spans="29:29" x14ac:dyDescent="0.3">
      <c r="AC75">
        <f>'معلومات الطلاب'!H75</f>
        <v>0</v>
      </c>
    </row>
    <row r="76" spans="29:29" x14ac:dyDescent="0.3">
      <c r="AC76">
        <f>'معلومات الطلاب'!H76</f>
        <v>0</v>
      </c>
    </row>
    <row r="77" spans="29:29" x14ac:dyDescent="0.3">
      <c r="AC77">
        <f>'معلومات الطلاب'!H77</f>
        <v>0</v>
      </c>
    </row>
    <row r="78" spans="29:29" x14ac:dyDescent="0.3">
      <c r="AC78">
        <f>'معلومات الطلاب'!H78</f>
        <v>0</v>
      </c>
    </row>
    <row r="79" spans="29:29" x14ac:dyDescent="0.3">
      <c r="AC79">
        <f>'معلومات الطلاب'!H79</f>
        <v>0</v>
      </c>
    </row>
    <row r="80" spans="29:29" x14ac:dyDescent="0.3">
      <c r="AC80">
        <f>'معلومات الطلاب'!H80</f>
        <v>0</v>
      </c>
    </row>
    <row r="81" spans="29:29" x14ac:dyDescent="0.3">
      <c r="AC81">
        <f>'معلومات الطلاب'!H81</f>
        <v>0</v>
      </c>
    </row>
    <row r="82" spans="29:29" x14ac:dyDescent="0.3">
      <c r="AC82">
        <f>'معلومات الطلاب'!H82</f>
        <v>0</v>
      </c>
    </row>
    <row r="83" spans="29:29" x14ac:dyDescent="0.3">
      <c r="AC83">
        <f>'معلومات الطلاب'!H83</f>
        <v>0</v>
      </c>
    </row>
    <row r="84" spans="29:29" x14ac:dyDescent="0.3">
      <c r="AC84">
        <f>'معلومات الطلاب'!H84</f>
        <v>0</v>
      </c>
    </row>
    <row r="85" spans="29:29" x14ac:dyDescent="0.3">
      <c r="AC85">
        <f>'معلومات الطلاب'!H85</f>
        <v>0</v>
      </c>
    </row>
    <row r="86" spans="29:29" x14ac:dyDescent="0.3">
      <c r="AC86">
        <f>'معلومات الطلاب'!H86</f>
        <v>0</v>
      </c>
    </row>
    <row r="87" spans="29:29" x14ac:dyDescent="0.3">
      <c r="AC87">
        <f>'معلومات الطلاب'!H87</f>
        <v>0</v>
      </c>
    </row>
    <row r="88" spans="29:29" x14ac:dyDescent="0.3">
      <c r="AC88">
        <f>'معلومات الطلاب'!H88</f>
        <v>0</v>
      </c>
    </row>
    <row r="89" spans="29:29" x14ac:dyDescent="0.3">
      <c r="AC89">
        <f>'معلومات الطلاب'!H89</f>
        <v>0</v>
      </c>
    </row>
    <row r="90" spans="29:29" x14ac:dyDescent="0.3">
      <c r="AC90">
        <f>'معلومات الطلاب'!H90</f>
        <v>0</v>
      </c>
    </row>
    <row r="91" spans="29:29" x14ac:dyDescent="0.3">
      <c r="AC91">
        <f>'معلومات الطلاب'!H91</f>
        <v>0</v>
      </c>
    </row>
    <row r="92" spans="29:29" x14ac:dyDescent="0.3">
      <c r="AC92">
        <f>'معلومات الطلاب'!H92</f>
        <v>0</v>
      </c>
    </row>
    <row r="93" spans="29:29" x14ac:dyDescent="0.3">
      <c r="AC93">
        <f>'معلومات الطلاب'!H93</f>
        <v>0</v>
      </c>
    </row>
    <row r="94" spans="29:29" x14ac:dyDescent="0.3">
      <c r="AC94">
        <f>'معلومات الطلاب'!H94</f>
        <v>0</v>
      </c>
    </row>
    <row r="95" spans="29:29" x14ac:dyDescent="0.3">
      <c r="AC95">
        <f>'معلومات الطلاب'!H95</f>
        <v>0</v>
      </c>
    </row>
    <row r="96" spans="29:29" x14ac:dyDescent="0.3">
      <c r="AC96">
        <f>'معلومات الطلاب'!H96</f>
        <v>0</v>
      </c>
    </row>
    <row r="97" spans="29:29" x14ac:dyDescent="0.3">
      <c r="AC97">
        <f>'معلومات الطلاب'!H97</f>
        <v>0</v>
      </c>
    </row>
    <row r="98" spans="29:29" x14ac:dyDescent="0.3">
      <c r="AC98">
        <f>'معلومات الطلاب'!H98</f>
        <v>0</v>
      </c>
    </row>
    <row r="99" spans="29:29" x14ac:dyDescent="0.3">
      <c r="AC99">
        <f>'معلومات الطلاب'!H99</f>
        <v>0</v>
      </c>
    </row>
    <row r="100" spans="29:29" x14ac:dyDescent="0.3">
      <c r="AC100">
        <f>'معلومات الطلاب'!H100</f>
        <v>0</v>
      </c>
    </row>
    <row r="101" spans="29:29" x14ac:dyDescent="0.3">
      <c r="AC101">
        <f>'معلومات الطلاب'!H101</f>
        <v>0</v>
      </c>
    </row>
    <row r="102" spans="29:29" x14ac:dyDescent="0.3">
      <c r="AC102">
        <f>'معلومات الطلاب'!H102</f>
        <v>0</v>
      </c>
    </row>
    <row r="103" spans="29:29" x14ac:dyDescent="0.3">
      <c r="AC103">
        <f>'معلومات الطلاب'!H103</f>
        <v>0</v>
      </c>
    </row>
    <row r="104" spans="29:29" x14ac:dyDescent="0.3">
      <c r="AC104">
        <f>'معلومات الطلاب'!H104</f>
        <v>0</v>
      </c>
    </row>
    <row r="105" spans="29:29" x14ac:dyDescent="0.3">
      <c r="AC105">
        <f>'معلومات الطلاب'!H105</f>
        <v>0</v>
      </c>
    </row>
    <row r="106" spans="29:29" x14ac:dyDescent="0.3">
      <c r="AC106">
        <f>'معلومات الطلاب'!H106</f>
        <v>0</v>
      </c>
    </row>
    <row r="107" spans="29:29" x14ac:dyDescent="0.3">
      <c r="AC107">
        <f>'معلومات الطلاب'!H107</f>
        <v>0</v>
      </c>
    </row>
    <row r="108" spans="29:29" x14ac:dyDescent="0.3">
      <c r="AC108">
        <f>'معلومات الطلاب'!H108</f>
        <v>0</v>
      </c>
    </row>
    <row r="109" spans="29:29" x14ac:dyDescent="0.3">
      <c r="AC109">
        <f>'معلومات الطلاب'!H109</f>
        <v>0</v>
      </c>
    </row>
    <row r="110" spans="29:29" x14ac:dyDescent="0.3">
      <c r="AC110">
        <f>'معلومات الطلاب'!H110</f>
        <v>0</v>
      </c>
    </row>
    <row r="111" spans="29:29" x14ac:dyDescent="0.3">
      <c r="AC111">
        <f>'معلومات الطلاب'!H111</f>
        <v>0</v>
      </c>
    </row>
    <row r="112" spans="29:29" x14ac:dyDescent="0.3">
      <c r="AC112">
        <f>'معلومات الطلاب'!H112</f>
        <v>0</v>
      </c>
    </row>
    <row r="113" spans="29:29" x14ac:dyDescent="0.3">
      <c r="AC113">
        <f>'معلومات الطلاب'!H113</f>
        <v>0</v>
      </c>
    </row>
    <row r="114" spans="29:29" x14ac:dyDescent="0.3">
      <c r="AC114">
        <f>'معلومات الطلاب'!H114</f>
        <v>0</v>
      </c>
    </row>
    <row r="115" spans="29:29" x14ac:dyDescent="0.3">
      <c r="AC115">
        <f>'معلومات الطلاب'!H115</f>
        <v>0</v>
      </c>
    </row>
    <row r="116" spans="29:29" x14ac:dyDescent="0.3">
      <c r="AC116">
        <f>'معلومات الطلاب'!H116</f>
        <v>0</v>
      </c>
    </row>
    <row r="117" spans="29:29" x14ac:dyDescent="0.3">
      <c r="AC117">
        <f>'معلومات الطلاب'!H117</f>
        <v>0</v>
      </c>
    </row>
    <row r="118" spans="29:29" x14ac:dyDescent="0.3">
      <c r="AC118">
        <f>'معلومات الطلاب'!H118</f>
        <v>0</v>
      </c>
    </row>
    <row r="119" spans="29:29" x14ac:dyDescent="0.3">
      <c r="AC119">
        <f>'معلومات الطلاب'!H119</f>
        <v>0</v>
      </c>
    </row>
    <row r="120" spans="29:29" x14ac:dyDescent="0.3">
      <c r="AC120">
        <f>'معلومات الطلاب'!H120</f>
        <v>0</v>
      </c>
    </row>
    <row r="121" spans="29:29" x14ac:dyDescent="0.3">
      <c r="AC121">
        <f>'معلومات الطلاب'!H121</f>
        <v>0</v>
      </c>
    </row>
    <row r="122" spans="29:29" x14ac:dyDescent="0.3">
      <c r="AC122">
        <f>'معلومات الطلاب'!H122</f>
        <v>0</v>
      </c>
    </row>
    <row r="123" spans="29:29" x14ac:dyDescent="0.3">
      <c r="AC123">
        <f>'معلومات الطلاب'!H123</f>
        <v>0</v>
      </c>
    </row>
    <row r="124" spans="29:29" x14ac:dyDescent="0.3">
      <c r="AC124">
        <f>'معلومات الطلاب'!H124</f>
        <v>0</v>
      </c>
    </row>
    <row r="125" spans="29:29" x14ac:dyDescent="0.3">
      <c r="AC125">
        <f>'معلومات الطلاب'!H125</f>
        <v>0</v>
      </c>
    </row>
    <row r="126" spans="29:29" x14ac:dyDescent="0.3">
      <c r="AC126">
        <f>'معلومات الطلاب'!H126</f>
        <v>0</v>
      </c>
    </row>
    <row r="127" spans="29:29" x14ac:dyDescent="0.3">
      <c r="AC127">
        <f>'معلومات الطلاب'!H127</f>
        <v>0</v>
      </c>
    </row>
    <row r="128" spans="29:29" x14ac:dyDescent="0.3">
      <c r="AC128">
        <f>'معلومات الطلاب'!H128</f>
        <v>0</v>
      </c>
    </row>
    <row r="129" spans="29:29" x14ac:dyDescent="0.3">
      <c r="AC129">
        <f>'معلومات الطلاب'!H129</f>
        <v>0</v>
      </c>
    </row>
    <row r="130" spans="29:29" x14ac:dyDescent="0.3">
      <c r="AC130">
        <f>'معلومات الطلاب'!H130</f>
        <v>0</v>
      </c>
    </row>
    <row r="131" spans="29:29" x14ac:dyDescent="0.3">
      <c r="AC131">
        <f>'معلومات الطلاب'!H131</f>
        <v>0</v>
      </c>
    </row>
    <row r="132" spans="29:29" x14ac:dyDescent="0.3">
      <c r="AC132">
        <f>'معلومات الطلاب'!H132</f>
        <v>0</v>
      </c>
    </row>
    <row r="133" spans="29:29" x14ac:dyDescent="0.3">
      <c r="AC133">
        <f>'معلومات الطلاب'!H133</f>
        <v>0</v>
      </c>
    </row>
    <row r="134" spans="29:29" x14ac:dyDescent="0.3">
      <c r="AC134">
        <f>'معلومات الطلاب'!H134</f>
        <v>0</v>
      </c>
    </row>
    <row r="135" spans="29:29" x14ac:dyDescent="0.3">
      <c r="AC135">
        <f>'معلومات الطلاب'!H135</f>
        <v>0</v>
      </c>
    </row>
    <row r="136" spans="29:29" x14ac:dyDescent="0.3">
      <c r="AC136">
        <f>'معلومات الطلاب'!H136</f>
        <v>0</v>
      </c>
    </row>
    <row r="137" spans="29:29" x14ac:dyDescent="0.3">
      <c r="AC137">
        <f>'معلومات الطلاب'!H137</f>
        <v>0</v>
      </c>
    </row>
    <row r="138" spans="29:29" x14ac:dyDescent="0.3">
      <c r="AC138">
        <f>'معلومات الطلاب'!H138</f>
        <v>0</v>
      </c>
    </row>
    <row r="139" spans="29:29" x14ac:dyDescent="0.3">
      <c r="AC139">
        <f>'معلومات الطلاب'!H139</f>
        <v>0</v>
      </c>
    </row>
    <row r="140" spans="29:29" x14ac:dyDescent="0.3">
      <c r="AC140">
        <f>'معلومات الطلاب'!H140</f>
        <v>0</v>
      </c>
    </row>
    <row r="141" spans="29:29" x14ac:dyDescent="0.3">
      <c r="AC141">
        <f>'معلومات الطلاب'!H141</f>
        <v>0</v>
      </c>
    </row>
    <row r="142" spans="29:29" x14ac:dyDescent="0.3">
      <c r="AC142">
        <f>'معلومات الطلاب'!H142</f>
        <v>0</v>
      </c>
    </row>
    <row r="143" spans="29:29" x14ac:dyDescent="0.3">
      <c r="AC143">
        <f>'معلومات الطلاب'!H143</f>
        <v>0</v>
      </c>
    </row>
    <row r="144" spans="29:29" x14ac:dyDescent="0.3">
      <c r="AC144">
        <f>'معلومات الطلاب'!H144</f>
        <v>0</v>
      </c>
    </row>
    <row r="145" spans="29:29" x14ac:dyDescent="0.3">
      <c r="AC145">
        <f>'معلومات الطلاب'!H145</f>
        <v>0</v>
      </c>
    </row>
    <row r="146" spans="29:29" x14ac:dyDescent="0.3">
      <c r="AC146">
        <f>'معلومات الطلاب'!H146</f>
        <v>0</v>
      </c>
    </row>
    <row r="147" spans="29:29" x14ac:dyDescent="0.3">
      <c r="AC147">
        <f>'معلومات الطلاب'!H147</f>
        <v>0</v>
      </c>
    </row>
    <row r="148" spans="29:29" x14ac:dyDescent="0.3">
      <c r="AC148">
        <f>'معلومات الطلاب'!H148</f>
        <v>0</v>
      </c>
    </row>
    <row r="149" spans="29:29" x14ac:dyDescent="0.3">
      <c r="AC149">
        <f>'معلومات الطلاب'!H149</f>
        <v>0</v>
      </c>
    </row>
    <row r="150" spans="29:29" x14ac:dyDescent="0.3">
      <c r="AC150">
        <f>'معلومات الطلاب'!H150</f>
        <v>0</v>
      </c>
    </row>
    <row r="151" spans="29:29" x14ac:dyDescent="0.3">
      <c r="AC151">
        <f>'معلومات الطلاب'!H151</f>
        <v>0</v>
      </c>
    </row>
    <row r="152" spans="29:29" x14ac:dyDescent="0.3">
      <c r="AC152">
        <f>'معلومات الطلاب'!H152</f>
        <v>0</v>
      </c>
    </row>
    <row r="153" spans="29:29" x14ac:dyDescent="0.3">
      <c r="AC153">
        <f>'معلومات الطلاب'!H153</f>
        <v>0</v>
      </c>
    </row>
    <row r="154" spans="29:29" x14ac:dyDescent="0.3">
      <c r="AC154">
        <f>'معلومات الطلاب'!H154</f>
        <v>0</v>
      </c>
    </row>
    <row r="155" spans="29:29" x14ac:dyDescent="0.3">
      <c r="AC155">
        <f>'معلومات الطلاب'!H155</f>
        <v>0</v>
      </c>
    </row>
    <row r="156" spans="29:29" x14ac:dyDescent="0.3">
      <c r="AC156">
        <f>'معلومات الطلاب'!H156</f>
        <v>0</v>
      </c>
    </row>
    <row r="157" spans="29:29" x14ac:dyDescent="0.3">
      <c r="AC157">
        <f>'معلومات الطلاب'!H157</f>
        <v>0</v>
      </c>
    </row>
    <row r="158" spans="29:29" x14ac:dyDescent="0.3">
      <c r="AC158">
        <f>'معلومات الطلاب'!H158</f>
        <v>0</v>
      </c>
    </row>
    <row r="159" spans="29:29" x14ac:dyDescent="0.3">
      <c r="AC159">
        <f>'معلومات الطلاب'!H159</f>
        <v>0</v>
      </c>
    </row>
    <row r="160" spans="29:29" x14ac:dyDescent="0.3">
      <c r="AC160">
        <f>'معلومات الطلاب'!H160</f>
        <v>0</v>
      </c>
    </row>
    <row r="161" spans="29:29" x14ac:dyDescent="0.3">
      <c r="AC161">
        <f>'معلومات الطلاب'!H161</f>
        <v>0</v>
      </c>
    </row>
    <row r="162" spans="29:29" x14ac:dyDescent="0.3">
      <c r="AC162">
        <f>'معلومات الطلاب'!H162</f>
        <v>0</v>
      </c>
    </row>
    <row r="163" spans="29:29" x14ac:dyDescent="0.3">
      <c r="AC163">
        <f>'معلومات الطلاب'!H163</f>
        <v>0</v>
      </c>
    </row>
    <row r="164" spans="29:29" x14ac:dyDescent="0.3">
      <c r="AC164">
        <f>'معلومات الطلاب'!H164</f>
        <v>0</v>
      </c>
    </row>
    <row r="165" spans="29:29" x14ac:dyDescent="0.3">
      <c r="AC165">
        <f>'معلومات الطلاب'!H165</f>
        <v>0</v>
      </c>
    </row>
    <row r="166" spans="29:29" x14ac:dyDescent="0.3">
      <c r="AC166">
        <f>'معلومات الطلاب'!H166</f>
        <v>0</v>
      </c>
    </row>
    <row r="167" spans="29:29" x14ac:dyDescent="0.3">
      <c r="AC167">
        <f>'معلومات الطلاب'!H167</f>
        <v>0</v>
      </c>
    </row>
    <row r="168" spans="29:29" x14ac:dyDescent="0.3">
      <c r="AC168">
        <f>'معلومات الطلاب'!H168</f>
        <v>0</v>
      </c>
    </row>
    <row r="169" spans="29:29" x14ac:dyDescent="0.3">
      <c r="AC169">
        <f>'معلومات الطلاب'!H169</f>
        <v>0</v>
      </c>
    </row>
    <row r="170" spans="29:29" x14ac:dyDescent="0.3">
      <c r="AC170">
        <f>'معلومات الطلاب'!H170</f>
        <v>0</v>
      </c>
    </row>
    <row r="171" spans="29:29" x14ac:dyDescent="0.3">
      <c r="AC171">
        <f>'معلومات الطلاب'!H171</f>
        <v>0</v>
      </c>
    </row>
    <row r="172" spans="29:29" x14ac:dyDescent="0.3">
      <c r="AC172">
        <f>'معلومات الطلاب'!H172</f>
        <v>0</v>
      </c>
    </row>
    <row r="173" spans="29:29" x14ac:dyDescent="0.3">
      <c r="AC173">
        <f>'معلومات الطلاب'!H173</f>
        <v>0</v>
      </c>
    </row>
    <row r="174" spans="29:29" x14ac:dyDescent="0.3">
      <c r="AC174">
        <f>'معلومات الطلاب'!H174</f>
        <v>0</v>
      </c>
    </row>
    <row r="175" spans="29:29" x14ac:dyDescent="0.3">
      <c r="AC175">
        <f>'معلومات الطلاب'!H175</f>
        <v>0</v>
      </c>
    </row>
    <row r="176" spans="29:29" x14ac:dyDescent="0.3">
      <c r="AC176">
        <f>'معلومات الطلاب'!H176</f>
        <v>0</v>
      </c>
    </row>
    <row r="177" spans="29:29" x14ac:dyDescent="0.3">
      <c r="AC177">
        <f>'معلومات الطلاب'!H177</f>
        <v>0</v>
      </c>
    </row>
    <row r="178" spans="29:29" x14ac:dyDescent="0.3">
      <c r="AC178">
        <f>'معلومات الطلاب'!H178</f>
        <v>0</v>
      </c>
    </row>
    <row r="179" spans="29:29" x14ac:dyDescent="0.3">
      <c r="AC179">
        <f>'معلومات الطلاب'!H179</f>
        <v>0</v>
      </c>
    </row>
    <row r="180" spans="29:29" x14ac:dyDescent="0.3">
      <c r="AC180">
        <f>'معلومات الطلاب'!H180</f>
        <v>0</v>
      </c>
    </row>
    <row r="181" spans="29:29" x14ac:dyDescent="0.3">
      <c r="AC181">
        <f>'معلومات الطلاب'!H181</f>
        <v>0</v>
      </c>
    </row>
    <row r="182" spans="29:29" x14ac:dyDescent="0.3">
      <c r="AC182">
        <f>'معلومات الطلاب'!H182</f>
        <v>0</v>
      </c>
    </row>
    <row r="183" spans="29:29" x14ac:dyDescent="0.3">
      <c r="AC183">
        <f>'معلومات الطلاب'!H183</f>
        <v>0</v>
      </c>
    </row>
    <row r="184" spans="29:29" x14ac:dyDescent="0.3">
      <c r="AC184">
        <f>'معلومات الطلاب'!H184</f>
        <v>0</v>
      </c>
    </row>
    <row r="185" spans="29:29" x14ac:dyDescent="0.3">
      <c r="AC185">
        <f>'معلومات الطلاب'!H185</f>
        <v>0</v>
      </c>
    </row>
    <row r="186" spans="29:29" x14ac:dyDescent="0.3">
      <c r="AC186">
        <f>'معلومات الطلاب'!H186</f>
        <v>0</v>
      </c>
    </row>
    <row r="187" spans="29:29" x14ac:dyDescent="0.3">
      <c r="AC187">
        <f>'معلومات الطلاب'!H187</f>
        <v>0</v>
      </c>
    </row>
    <row r="188" spans="29:29" x14ac:dyDescent="0.3">
      <c r="AC188">
        <f>'معلومات الطلاب'!H188</f>
        <v>0</v>
      </c>
    </row>
    <row r="189" spans="29:29" x14ac:dyDescent="0.3">
      <c r="AC189">
        <f>'معلومات الطلاب'!H189</f>
        <v>0</v>
      </c>
    </row>
    <row r="190" spans="29:29" x14ac:dyDescent="0.3">
      <c r="AC190">
        <f>'معلومات الطلاب'!H190</f>
        <v>0</v>
      </c>
    </row>
    <row r="191" spans="29:29" x14ac:dyDescent="0.3">
      <c r="AC191">
        <f>'معلومات الطلاب'!H191</f>
        <v>0</v>
      </c>
    </row>
    <row r="192" spans="29:29" x14ac:dyDescent="0.3">
      <c r="AC192">
        <f>'معلومات الطلاب'!H192</f>
        <v>0</v>
      </c>
    </row>
    <row r="193" spans="29:29" x14ac:dyDescent="0.3">
      <c r="AC193">
        <f>'معلومات الطلاب'!H193</f>
        <v>0</v>
      </c>
    </row>
    <row r="194" spans="29:29" x14ac:dyDescent="0.3">
      <c r="AC194">
        <f>'معلومات الطلاب'!H194</f>
        <v>0</v>
      </c>
    </row>
    <row r="195" spans="29:29" x14ac:dyDescent="0.3">
      <c r="AC195">
        <f>'معلومات الطلاب'!H195</f>
        <v>0</v>
      </c>
    </row>
    <row r="196" spans="29:29" x14ac:dyDescent="0.3">
      <c r="AC196">
        <f>'معلومات الطلاب'!H196</f>
        <v>0</v>
      </c>
    </row>
    <row r="197" spans="29:29" x14ac:dyDescent="0.3">
      <c r="AC197">
        <f>'معلومات الطلاب'!H197</f>
        <v>0</v>
      </c>
    </row>
    <row r="198" spans="29:29" x14ac:dyDescent="0.3">
      <c r="AC198">
        <f>'معلومات الطلاب'!H198</f>
        <v>0</v>
      </c>
    </row>
    <row r="199" spans="29:29" x14ac:dyDescent="0.3">
      <c r="AC199">
        <f>'معلومات الطلاب'!H199</f>
        <v>0</v>
      </c>
    </row>
    <row r="200" spans="29:29" x14ac:dyDescent="0.3">
      <c r="AC200">
        <f>'معلومات الطلاب'!H200</f>
        <v>0</v>
      </c>
    </row>
    <row r="201" spans="29:29" x14ac:dyDescent="0.3">
      <c r="AC201">
        <f>'معلومات الطلاب'!H201</f>
        <v>0</v>
      </c>
    </row>
    <row r="202" spans="29:29" x14ac:dyDescent="0.3">
      <c r="AC202">
        <f>'معلومات الطلاب'!H202</f>
        <v>0</v>
      </c>
    </row>
    <row r="203" spans="29:29" x14ac:dyDescent="0.3">
      <c r="AC203">
        <f>'معلومات الطلاب'!H203</f>
        <v>0</v>
      </c>
    </row>
    <row r="204" spans="29:29" x14ac:dyDescent="0.3">
      <c r="AC204">
        <f>'معلومات الطلاب'!H204</f>
        <v>0</v>
      </c>
    </row>
    <row r="205" spans="29:29" x14ac:dyDescent="0.3">
      <c r="AC205">
        <f>'معلومات الطلاب'!H205</f>
        <v>0</v>
      </c>
    </row>
    <row r="206" spans="29:29" x14ac:dyDescent="0.3">
      <c r="AC206">
        <f>'معلومات الطلاب'!H206</f>
        <v>0</v>
      </c>
    </row>
    <row r="207" spans="29:29" x14ac:dyDescent="0.3">
      <c r="AC207">
        <f>'معلومات الطلاب'!H207</f>
        <v>0</v>
      </c>
    </row>
    <row r="208" spans="29:29" x14ac:dyDescent="0.3">
      <c r="AC208">
        <f>'معلومات الطلاب'!H208</f>
        <v>0</v>
      </c>
    </row>
    <row r="209" spans="29:29" x14ac:dyDescent="0.3">
      <c r="AC209">
        <f>'معلومات الطلاب'!H209</f>
        <v>0</v>
      </c>
    </row>
    <row r="210" spans="29:29" x14ac:dyDescent="0.3">
      <c r="AC210">
        <f>'معلومات الطلاب'!H210</f>
        <v>0</v>
      </c>
    </row>
    <row r="211" spans="29:29" x14ac:dyDescent="0.3">
      <c r="AC211">
        <f>'معلومات الطلاب'!H211</f>
        <v>0</v>
      </c>
    </row>
    <row r="212" spans="29:29" x14ac:dyDescent="0.3">
      <c r="AC212">
        <f>'معلومات الطلاب'!H212</f>
        <v>0</v>
      </c>
    </row>
    <row r="213" spans="29:29" x14ac:dyDescent="0.3">
      <c r="AC213">
        <f>'معلومات الطلاب'!H213</f>
        <v>0</v>
      </c>
    </row>
    <row r="214" spans="29:29" x14ac:dyDescent="0.3">
      <c r="AC214">
        <f>'معلومات الطلاب'!H214</f>
        <v>0</v>
      </c>
    </row>
    <row r="215" spans="29:29" x14ac:dyDescent="0.3">
      <c r="AC215">
        <f>'معلومات الطلاب'!H215</f>
        <v>0</v>
      </c>
    </row>
    <row r="216" spans="29:29" x14ac:dyDescent="0.3">
      <c r="AC216">
        <f>'معلومات الطلاب'!H216</f>
        <v>0</v>
      </c>
    </row>
    <row r="217" spans="29:29" x14ac:dyDescent="0.3">
      <c r="AC217">
        <f>'معلومات الطلاب'!H217</f>
        <v>0</v>
      </c>
    </row>
    <row r="218" spans="29:29" x14ac:dyDescent="0.3">
      <c r="AC218">
        <f>'معلومات الطلاب'!H218</f>
        <v>0</v>
      </c>
    </row>
    <row r="219" spans="29:29" x14ac:dyDescent="0.3">
      <c r="AC219">
        <f>'معلومات الطلاب'!H219</f>
        <v>0</v>
      </c>
    </row>
    <row r="220" spans="29:29" x14ac:dyDescent="0.3">
      <c r="AC220">
        <f>'معلومات الطلاب'!H220</f>
        <v>0</v>
      </c>
    </row>
    <row r="221" spans="29:29" x14ac:dyDescent="0.3">
      <c r="AC221">
        <f>'معلومات الطلاب'!H221</f>
        <v>0</v>
      </c>
    </row>
    <row r="222" spans="29:29" x14ac:dyDescent="0.3">
      <c r="AC222">
        <f>'معلومات الطلاب'!H222</f>
        <v>0</v>
      </c>
    </row>
    <row r="223" spans="29:29" x14ac:dyDescent="0.3">
      <c r="AC223">
        <f>'معلومات الطلاب'!H223</f>
        <v>0</v>
      </c>
    </row>
    <row r="224" spans="29:29" x14ac:dyDescent="0.3">
      <c r="AC224">
        <f>'معلومات الطلاب'!H224</f>
        <v>0</v>
      </c>
    </row>
    <row r="225" spans="29:29" x14ac:dyDescent="0.3">
      <c r="AC225">
        <f>'معلومات الطلاب'!H225</f>
        <v>0</v>
      </c>
    </row>
    <row r="226" spans="29:29" x14ac:dyDescent="0.3">
      <c r="AC226">
        <f>'معلومات الطلاب'!H226</f>
        <v>0</v>
      </c>
    </row>
    <row r="227" spans="29:29" x14ac:dyDescent="0.3">
      <c r="AC227">
        <f>'معلومات الطلاب'!H227</f>
        <v>0</v>
      </c>
    </row>
    <row r="228" spans="29:29" x14ac:dyDescent="0.3">
      <c r="AC228">
        <f>'معلومات الطلاب'!H228</f>
        <v>0</v>
      </c>
    </row>
    <row r="229" spans="29:29" x14ac:dyDescent="0.3">
      <c r="AC229">
        <f>'معلومات الطلاب'!H229</f>
        <v>0</v>
      </c>
    </row>
    <row r="230" spans="29:29" x14ac:dyDescent="0.3">
      <c r="AC230">
        <f>'معلومات الطلاب'!H230</f>
        <v>0</v>
      </c>
    </row>
    <row r="231" spans="29:29" x14ac:dyDescent="0.3">
      <c r="AC231">
        <f>'معلومات الطلاب'!H231</f>
        <v>0</v>
      </c>
    </row>
    <row r="232" spans="29:29" x14ac:dyDescent="0.3">
      <c r="AC232">
        <f>'معلومات الطلاب'!H232</f>
        <v>0</v>
      </c>
    </row>
    <row r="233" spans="29:29" x14ac:dyDescent="0.3">
      <c r="AC233">
        <f>'معلومات الطلاب'!H233</f>
        <v>0</v>
      </c>
    </row>
    <row r="234" spans="29:29" x14ac:dyDescent="0.3">
      <c r="AC234">
        <f>'معلومات الطلاب'!H234</f>
        <v>0</v>
      </c>
    </row>
    <row r="235" spans="29:29" x14ac:dyDescent="0.3">
      <c r="AC235">
        <f>'معلومات الطلاب'!H235</f>
        <v>0</v>
      </c>
    </row>
    <row r="236" spans="29:29" x14ac:dyDescent="0.3">
      <c r="AC236">
        <f>'معلومات الطلاب'!H236</f>
        <v>0</v>
      </c>
    </row>
    <row r="237" spans="29:29" x14ac:dyDescent="0.3">
      <c r="AC237">
        <f>'معلومات الطلاب'!H237</f>
        <v>0</v>
      </c>
    </row>
    <row r="238" spans="29:29" x14ac:dyDescent="0.3">
      <c r="AC238">
        <f>'معلومات الطلاب'!H238</f>
        <v>0</v>
      </c>
    </row>
    <row r="239" spans="29:29" x14ac:dyDescent="0.3">
      <c r="AC239">
        <f>'معلومات الطلاب'!H239</f>
        <v>0</v>
      </c>
    </row>
    <row r="240" spans="29:29" x14ac:dyDescent="0.3">
      <c r="AC240">
        <f>'معلومات الطلاب'!H240</f>
        <v>0</v>
      </c>
    </row>
    <row r="241" spans="29:29" x14ac:dyDescent="0.3">
      <c r="AC241">
        <f>'معلومات الطلاب'!H241</f>
        <v>0</v>
      </c>
    </row>
    <row r="242" spans="29:29" x14ac:dyDescent="0.3">
      <c r="AC242">
        <f>'معلومات الطلاب'!H242</f>
        <v>0</v>
      </c>
    </row>
    <row r="243" spans="29:29" x14ac:dyDescent="0.3">
      <c r="AC243">
        <f>'معلومات الطلاب'!H243</f>
        <v>0</v>
      </c>
    </row>
    <row r="244" spans="29:29" x14ac:dyDescent="0.3">
      <c r="AC244">
        <f>'معلومات الطلاب'!H244</f>
        <v>0</v>
      </c>
    </row>
    <row r="245" spans="29:29" x14ac:dyDescent="0.3">
      <c r="AC245">
        <f>'معلومات الطلاب'!H245</f>
        <v>0</v>
      </c>
    </row>
    <row r="246" spans="29:29" x14ac:dyDescent="0.3">
      <c r="AC246">
        <f>'معلومات الطلاب'!H246</f>
        <v>0</v>
      </c>
    </row>
    <row r="247" spans="29:29" x14ac:dyDescent="0.3">
      <c r="AC247">
        <f>'معلومات الطلاب'!H247</f>
        <v>0</v>
      </c>
    </row>
    <row r="248" spans="29:29" x14ac:dyDescent="0.3">
      <c r="AC248">
        <f>'معلومات الطلاب'!H248</f>
        <v>0</v>
      </c>
    </row>
    <row r="249" spans="29:29" x14ac:dyDescent="0.3">
      <c r="AC249">
        <f>'معلومات الطلاب'!H249</f>
        <v>0</v>
      </c>
    </row>
    <row r="250" spans="29:29" x14ac:dyDescent="0.3">
      <c r="AC250">
        <f>'معلومات الطلاب'!H250</f>
        <v>0</v>
      </c>
    </row>
    <row r="251" spans="29:29" x14ac:dyDescent="0.3">
      <c r="AC251">
        <f>'معلومات الطلاب'!H251</f>
        <v>0</v>
      </c>
    </row>
    <row r="252" spans="29:29" x14ac:dyDescent="0.3">
      <c r="AC252">
        <f>'معلومات الطلاب'!H252</f>
        <v>0</v>
      </c>
    </row>
    <row r="253" spans="29:29" x14ac:dyDescent="0.3">
      <c r="AC253">
        <f>'معلومات الطلاب'!H253</f>
        <v>0</v>
      </c>
    </row>
    <row r="254" spans="29:29" x14ac:dyDescent="0.3">
      <c r="AC254">
        <f>'معلومات الطلاب'!H254</f>
        <v>0</v>
      </c>
    </row>
    <row r="255" spans="29:29" x14ac:dyDescent="0.3">
      <c r="AC255">
        <f>'معلومات الطلاب'!H255</f>
        <v>0</v>
      </c>
    </row>
    <row r="256" spans="29:29" x14ac:dyDescent="0.3">
      <c r="AC256">
        <f>'معلومات الطلاب'!H256</f>
        <v>0</v>
      </c>
    </row>
    <row r="257" spans="29:29" x14ac:dyDescent="0.3">
      <c r="AC257">
        <f>'معلومات الطلاب'!H257</f>
        <v>0</v>
      </c>
    </row>
    <row r="258" spans="29:29" x14ac:dyDescent="0.3">
      <c r="AC258">
        <f>'معلومات الطلاب'!H258</f>
        <v>0</v>
      </c>
    </row>
    <row r="259" spans="29:29" x14ac:dyDescent="0.3">
      <c r="AC259">
        <f>'معلومات الطلاب'!H259</f>
        <v>0</v>
      </c>
    </row>
    <row r="260" spans="29:29" x14ac:dyDescent="0.3">
      <c r="AC260">
        <f>'معلومات الطلاب'!H260</f>
        <v>0</v>
      </c>
    </row>
    <row r="261" spans="29:29" x14ac:dyDescent="0.3">
      <c r="AC261">
        <f>'معلومات الطلاب'!H261</f>
        <v>0</v>
      </c>
    </row>
    <row r="262" spans="29:29" x14ac:dyDescent="0.3">
      <c r="AC262">
        <f>'معلومات الطلاب'!H262</f>
        <v>0</v>
      </c>
    </row>
    <row r="263" spans="29:29" x14ac:dyDescent="0.3">
      <c r="AC263">
        <f>'معلومات الطلاب'!H263</f>
        <v>0</v>
      </c>
    </row>
    <row r="264" spans="29:29" x14ac:dyDescent="0.3">
      <c r="AC264">
        <f>'معلومات الطلاب'!H264</f>
        <v>0</v>
      </c>
    </row>
    <row r="265" spans="29:29" x14ac:dyDescent="0.3">
      <c r="AC265">
        <f>'معلومات الطلاب'!H265</f>
        <v>0</v>
      </c>
    </row>
    <row r="266" spans="29:29" x14ac:dyDescent="0.3">
      <c r="AC266">
        <f>'معلومات الطلاب'!H266</f>
        <v>0</v>
      </c>
    </row>
    <row r="267" spans="29:29" x14ac:dyDescent="0.3">
      <c r="AC267">
        <f>'معلومات الطلاب'!H267</f>
        <v>0</v>
      </c>
    </row>
    <row r="268" spans="29:29" x14ac:dyDescent="0.3">
      <c r="AC268">
        <f>'معلومات الطلاب'!H268</f>
        <v>0</v>
      </c>
    </row>
    <row r="269" spans="29:29" x14ac:dyDescent="0.3">
      <c r="AC269">
        <f>'معلومات الطلاب'!H269</f>
        <v>0</v>
      </c>
    </row>
    <row r="270" spans="29:29" x14ac:dyDescent="0.3">
      <c r="AC270">
        <f>'معلومات الطلاب'!H270</f>
        <v>0</v>
      </c>
    </row>
    <row r="271" spans="29:29" x14ac:dyDescent="0.3">
      <c r="AC271">
        <f>'معلومات الطلاب'!H271</f>
        <v>0</v>
      </c>
    </row>
    <row r="272" spans="29:29" x14ac:dyDescent="0.3">
      <c r="AC272">
        <f>'معلومات الطلاب'!H272</f>
        <v>0</v>
      </c>
    </row>
    <row r="273" spans="29:29" x14ac:dyDescent="0.3">
      <c r="AC273">
        <f>'معلومات الطلاب'!H273</f>
        <v>0</v>
      </c>
    </row>
    <row r="274" spans="29:29" x14ac:dyDescent="0.3">
      <c r="AC274">
        <f>'معلومات الطلاب'!H274</f>
        <v>0</v>
      </c>
    </row>
    <row r="275" spans="29:29" x14ac:dyDescent="0.3">
      <c r="AC275">
        <f>'معلومات الطلاب'!H275</f>
        <v>0</v>
      </c>
    </row>
    <row r="276" spans="29:29" x14ac:dyDescent="0.3">
      <c r="AC276">
        <f>'معلومات الطلاب'!H276</f>
        <v>0</v>
      </c>
    </row>
    <row r="277" spans="29:29" x14ac:dyDescent="0.3">
      <c r="AC277">
        <f>'معلومات الطلاب'!H277</f>
        <v>0</v>
      </c>
    </row>
    <row r="278" spans="29:29" x14ac:dyDescent="0.3">
      <c r="AC278">
        <f>'معلومات الطلاب'!H278</f>
        <v>0</v>
      </c>
    </row>
    <row r="279" spans="29:29" x14ac:dyDescent="0.3">
      <c r="AC279">
        <f>'معلومات الطلاب'!H279</f>
        <v>0</v>
      </c>
    </row>
    <row r="280" spans="29:29" x14ac:dyDescent="0.3">
      <c r="AC280">
        <f>'معلومات الطلاب'!H280</f>
        <v>0</v>
      </c>
    </row>
    <row r="281" spans="29:29" x14ac:dyDescent="0.3">
      <c r="AC281">
        <f>'معلومات الطلاب'!H281</f>
        <v>0</v>
      </c>
    </row>
    <row r="282" spans="29:29" x14ac:dyDescent="0.3">
      <c r="AC282">
        <f>'معلومات الطلاب'!H282</f>
        <v>0</v>
      </c>
    </row>
    <row r="283" spans="29:29" x14ac:dyDescent="0.3">
      <c r="AC283">
        <f>'معلومات الطلاب'!H283</f>
        <v>0</v>
      </c>
    </row>
    <row r="284" spans="29:29" x14ac:dyDescent="0.3">
      <c r="AC284">
        <f>'معلومات الطلاب'!H284</f>
        <v>0</v>
      </c>
    </row>
    <row r="285" spans="29:29" x14ac:dyDescent="0.3">
      <c r="AC285">
        <f>'معلومات الطلاب'!H285</f>
        <v>0</v>
      </c>
    </row>
    <row r="286" spans="29:29" x14ac:dyDescent="0.3">
      <c r="AC286">
        <f>'معلومات الطلاب'!H286</f>
        <v>0</v>
      </c>
    </row>
    <row r="287" spans="29:29" x14ac:dyDescent="0.3">
      <c r="AC287">
        <f>'معلومات الطلاب'!H287</f>
        <v>0</v>
      </c>
    </row>
    <row r="288" spans="29:29" x14ac:dyDescent="0.3">
      <c r="AC288">
        <f>'معلومات الطلاب'!H288</f>
        <v>0</v>
      </c>
    </row>
    <row r="289" spans="29:29" x14ac:dyDescent="0.3">
      <c r="AC289">
        <f>'معلومات الطلاب'!H289</f>
        <v>0</v>
      </c>
    </row>
    <row r="290" spans="29:29" x14ac:dyDescent="0.3">
      <c r="AC290">
        <f>'معلومات الطلاب'!H290</f>
        <v>0</v>
      </c>
    </row>
    <row r="291" spans="29:29" x14ac:dyDescent="0.3">
      <c r="AC291">
        <f>'معلومات الطلاب'!H291</f>
        <v>0</v>
      </c>
    </row>
    <row r="292" spans="29:29" x14ac:dyDescent="0.3">
      <c r="AC292">
        <f>'معلومات الطلاب'!H292</f>
        <v>0</v>
      </c>
    </row>
    <row r="293" spans="29:29" x14ac:dyDescent="0.3">
      <c r="AC293">
        <f>'معلومات الطلاب'!H293</f>
        <v>0</v>
      </c>
    </row>
    <row r="294" spans="29:29" x14ac:dyDescent="0.3">
      <c r="AC294">
        <f>'معلومات الطلاب'!H294</f>
        <v>0</v>
      </c>
    </row>
    <row r="295" spans="29:29" x14ac:dyDescent="0.3">
      <c r="AC295">
        <f>'معلومات الطلاب'!H295</f>
        <v>0</v>
      </c>
    </row>
    <row r="296" spans="29:29" x14ac:dyDescent="0.3">
      <c r="AC296">
        <f>'معلومات الطلاب'!H296</f>
        <v>0</v>
      </c>
    </row>
    <row r="297" spans="29:29" x14ac:dyDescent="0.3">
      <c r="AC297">
        <f>'معلومات الطلاب'!H297</f>
        <v>0</v>
      </c>
    </row>
    <row r="298" spans="29:29" x14ac:dyDescent="0.3">
      <c r="AC298">
        <f>'معلومات الطلاب'!H298</f>
        <v>0</v>
      </c>
    </row>
    <row r="299" spans="29:29" x14ac:dyDescent="0.3">
      <c r="AC299">
        <f>'معلومات الطلاب'!H299</f>
        <v>0</v>
      </c>
    </row>
    <row r="300" spans="29:29" x14ac:dyDescent="0.3">
      <c r="AC300">
        <f>'معلومات الطلاب'!H300</f>
        <v>0</v>
      </c>
    </row>
    <row r="301" spans="29:29" x14ac:dyDescent="0.3">
      <c r="AC301">
        <f>'معلومات الطلاب'!H301</f>
        <v>0</v>
      </c>
    </row>
    <row r="302" spans="29:29" x14ac:dyDescent="0.3">
      <c r="AC302">
        <f>'معلومات الطلاب'!H302</f>
        <v>0</v>
      </c>
    </row>
    <row r="303" spans="29:29" x14ac:dyDescent="0.3">
      <c r="AC303">
        <f>'معلومات الطلاب'!H303</f>
        <v>0</v>
      </c>
    </row>
    <row r="304" spans="29:29" x14ac:dyDescent="0.3">
      <c r="AC304">
        <f>'معلومات الطلاب'!H304</f>
        <v>0</v>
      </c>
    </row>
    <row r="305" spans="29:29" x14ac:dyDescent="0.3">
      <c r="AC305">
        <f>'معلومات الطلاب'!H305</f>
        <v>0</v>
      </c>
    </row>
    <row r="306" spans="29:29" x14ac:dyDescent="0.3">
      <c r="AC306">
        <f>'معلومات الطلاب'!H306</f>
        <v>0</v>
      </c>
    </row>
    <row r="307" spans="29:29" x14ac:dyDescent="0.3">
      <c r="AC307">
        <f>'معلومات الطلاب'!H307</f>
        <v>0</v>
      </c>
    </row>
    <row r="308" spans="29:29" x14ac:dyDescent="0.3">
      <c r="AC308">
        <f>'معلومات الطلاب'!H308</f>
        <v>0</v>
      </c>
    </row>
    <row r="309" spans="29:29" x14ac:dyDescent="0.3">
      <c r="AC309">
        <f>'معلومات الطلاب'!H309</f>
        <v>0</v>
      </c>
    </row>
    <row r="310" spans="29:29" x14ac:dyDescent="0.3">
      <c r="AC310">
        <f>'معلومات الطلاب'!H310</f>
        <v>0</v>
      </c>
    </row>
    <row r="311" spans="29:29" x14ac:dyDescent="0.3">
      <c r="AC311">
        <f>'معلومات الطلاب'!H311</f>
        <v>0</v>
      </c>
    </row>
    <row r="312" spans="29:29" x14ac:dyDescent="0.3">
      <c r="AC312">
        <f>'معلومات الطلاب'!H312</f>
        <v>0</v>
      </c>
    </row>
    <row r="313" spans="29:29" x14ac:dyDescent="0.3">
      <c r="AC313">
        <f>'معلومات الطلاب'!H313</f>
        <v>0</v>
      </c>
    </row>
    <row r="314" spans="29:29" x14ac:dyDescent="0.3">
      <c r="AC314">
        <f>'معلومات الطلاب'!H314</f>
        <v>0</v>
      </c>
    </row>
    <row r="315" spans="29:29" x14ac:dyDescent="0.3">
      <c r="AC315">
        <f>'معلومات الطلاب'!H315</f>
        <v>0</v>
      </c>
    </row>
    <row r="316" spans="29:29" x14ac:dyDescent="0.3">
      <c r="AC316">
        <f>'معلومات الطلاب'!H316</f>
        <v>0</v>
      </c>
    </row>
    <row r="317" spans="29:29" x14ac:dyDescent="0.3">
      <c r="AC317">
        <f>'معلومات الطلاب'!H317</f>
        <v>0</v>
      </c>
    </row>
    <row r="318" spans="29:29" x14ac:dyDescent="0.3">
      <c r="AC318">
        <f>'معلومات الطلاب'!H318</f>
        <v>0</v>
      </c>
    </row>
    <row r="319" spans="29:29" x14ac:dyDescent="0.3">
      <c r="AC319">
        <f>'معلومات الطلاب'!H319</f>
        <v>0</v>
      </c>
    </row>
    <row r="320" spans="29:29" x14ac:dyDescent="0.3">
      <c r="AC320">
        <f>'معلومات الطلاب'!H320</f>
        <v>0</v>
      </c>
    </row>
    <row r="321" spans="29:29" x14ac:dyDescent="0.3">
      <c r="AC321">
        <f>'معلومات الطلاب'!H321</f>
        <v>0</v>
      </c>
    </row>
    <row r="322" spans="29:29" x14ac:dyDescent="0.3">
      <c r="AC322">
        <f>'معلومات الطلاب'!H322</f>
        <v>0</v>
      </c>
    </row>
    <row r="323" spans="29:29" x14ac:dyDescent="0.3">
      <c r="AC323">
        <f>'معلومات الطلاب'!H323</f>
        <v>0</v>
      </c>
    </row>
    <row r="324" spans="29:29" x14ac:dyDescent="0.3">
      <c r="AC324">
        <f>'معلومات الطلاب'!H324</f>
        <v>0</v>
      </c>
    </row>
    <row r="325" spans="29:29" x14ac:dyDescent="0.3">
      <c r="AC325">
        <f>'معلومات الطلاب'!H325</f>
        <v>0</v>
      </c>
    </row>
    <row r="326" spans="29:29" x14ac:dyDescent="0.3">
      <c r="AC326">
        <f>'معلومات الطلاب'!H326</f>
        <v>0</v>
      </c>
    </row>
    <row r="327" spans="29:29" x14ac:dyDescent="0.3">
      <c r="AC327">
        <f>'معلومات الطلاب'!H327</f>
        <v>0</v>
      </c>
    </row>
    <row r="328" spans="29:29" x14ac:dyDescent="0.3">
      <c r="AC328">
        <f>'معلومات الطلاب'!H328</f>
        <v>0</v>
      </c>
    </row>
    <row r="329" spans="29:29" x14ac:dyDescent="0.3">
      <c r="AC329">
        <f>'معلومات الطلاب'!H329</f>
        <v>0</v>
      </c>
    </row>
    <row r="330" spans="29:29" x14ac:dyDescent="0.3">
      <c r="AC330">
        <f>'معلومات الطلاب'!H330</f>
        <v>0</v>
      </c>
    </row>
    <row r="331" spans="29:29" x14ac:dyDescent="0.3">
      <c r="AC331">
        <f>'معلومات الطلاب'!H331</f>
        <v>0</v>
      </c>
    </row>
    <row r="332" spans="29:29" x14ac:dyDescent="0.3">
      <c r="AC332">
        <f>'معلومات الطلاب'!H332</f>
        <v>0</v>
      </c>
    </row>
    <row r="333" spans="29:29" x14ac:dyDescent="0.3">
      <c r="AC333">
        <f>'معلومات الطلاب'!H333</f>
        <v>0</v>
      </c>
    </row>
    <row r="334" spans="29:29" x14ac:dyDescent="0.3">
      <c r="AC334">
        <f>'معلومات الطلاب'!H334</f>
        <v>0</v>
      </c>
    </row>
    <row r="335" spans="29:29" x14ac:dyDescent="0.3">
      <c r="AC335">
        <f>'معلومات الطلاب'!H335</f>
        <v>0</v>
      </c>
    </row>
    <row r="336" spans="29:29" x14ac:dyDescent="0.3">
      <c r="AC336">
        <f>'معلومات الطلاب'!H336</f>
        <v>0</v>
      </c>
    </row>
    <row r="337" spans="29:29" x14ac:dyDescent="0.3">
      <c r="AC337">
        <f>'معلومات الطلاب'!H337</f>
        <v>0</v>
      </c>
    </row>
    <row r="338" spans="29:29" x14ac:dyDescent="0.3">
      <c r="AC338">
        <f>'معلومات الطلاب'!H338</f>
        <v>0</v>
      </c>
    </row>
    <row r="339" spans="29:29" x14ac:dyDescent="0.3">
      <c r="AC339">
        <f>'معلومات الطلاب'!H339</f>
        <v>0</v>
      </c>
    </row>
    <row r="340" spans="29:29" x14ac:dyDescent="0.3">
      <c r="AC340">
        <f>'معلومات الطلاب'!H340</f>
        <v>0</v>
      </c>
    </row>
    <row r="341" spans="29:29" x14ac:dyDescent="0.3">
      <c r="AC341">
        <f>'معلومات الطلاب'!H341</f>
        <v>0</v>
      </c>
    </row>
    <row r="342" spans="29:29" x14ac:dyDescent="0.3">
      <c r="AC342">
        <f>'معلومات الطلاب'!H342</f>
        <v>0</v>
      </c>
    </row>
    <row r="343" spans="29:29" x14ac:dyDescent="0.3">
      <c r="AC343">
        <f>'معلومات الطلاب'!H343</f>
        <v>0</v>
      </c>
    </row>
    <row r="344" spans="29:29" x14ac:dyDescent="0.3">
      <c r="AC344">
        <f>'معلومات الطلاب'!H344</f>
        <v>0</v>
      </c>
    </row>
    <row r="345" spans="29:29" x14ac:dyDescent="0.3">
      <c r="AC345">
        <f>'معلومات الطلاب'!H345</f>
        <v>0</v>
      </c>
    </row>
    <row r="346" spans="29:29" x14ac:dyDescent="0.3">
      <c r="AC346">
        <f>'معلومات الطلاب'!H346</f>
        <v>0</v>
      </c>
    </row>
    <row r="347" spans="29:29" x14ac:dyDescent="0.3">
      <c r="AC347">
        <f>'معلومات الطلاب'!H347</f>
        <v>0</v>
      </c>
    </row>
    <row r="348" spans="29:29" x14ac:dyDescent="0.3">
      <c r="AC348">
        <f>'معلومات الطلاب'!H348</f>
        <v>0</v>
      </c>
    </row>
    <row r="349" spans="29:29" x14ac:dyDescent="0.3">
      <c r="AC349">
        <f>'معلومات الطلاب'!H349</f>
        <v>0</v>
      </c>
    </row>
    <row r="350" spans="29:29" x14ac:dyDescent="0.3">
      <c r="AC350">
        <f>'معلومات الطلاب'!H350</f>
        <v>0</v>
      </c>
    </row>
    <row r="351" spans="29:29" x14ac:dyDescent="0.3">
      <c r="AC351">
        <f>'معلومات الطلاب'!H351</f>
        <v>0</v>
      </c>
    </row>
    <row r="352" spans="29:29" x14ac:dyDescent="0.3">
      <c r="AC352">
        <f>'معلومات الطلاب'!H352</f>
        <v>0</v>
      </c>
    </row>
    <row r="353" spans="29:29" x14ac:dyDescent="0.3">
      <c r="AC353">
        <f>'معلومات الطلاب'!H353</f>
        <v>0</v>
      </c>
    </row>
    <row r="354" spans="29:29" x14ac:dyDescent="0.3">
      <c r="AC354">
        <f>'معلومات الطلاب'!H354</f>
        <v>0</v>
      </c>
    </row>
    <row r="355" spans="29:29" x14ac:dyDescent="0.3">
      <c r="AC355">
        <f>'معلومات الطلاب'!H355</f>
        <v>0</v>
      </c>
    </row>
    <row r="356" spans="29:29" x14ac:dyDescent="0.3">
      <c r="AC356">
        <f>'معلومات الطلاب'!H356</f>
        <v>0</v>
      </c>
    </row>
    <row r="357" spans="29:29" x14ac:dyDescent="0.3">
      <c r="AC357">
        <f>'معلومات الطلاب'!H357</f>
        <v>0</v>
      </c>
    </row>
    <row r="358" spans="29:29" x14ac:dyDescent="0.3">
      <c r="AC358">
        <f>'معلومات الطلاب'!H358</f>
        <v>0</v>
      </c>
    </row>
    <row r="359" spans="29:29" x14ac:dyDescent="0.3">
      <c r="AC359">
        <f>'معلومات الطلاب'!H359</f>
        <v>0</v>
      </c>
    </row>
    <row r="360" spans="29:29" x14ac:dyDescent="0.3">
      <c r="AC360">
        <f>'معلومات الطلاب'!H360</f>
        <v>0</v>
      </c>
    </row>
    <row r="361" spans="29:29" x14ac:dyDescent="0.3">
      <c r="AC361">
        <f>'معلومات الطلاب'!H361</f>
        <v>0</v>
      </c>
    </row>
    <row r="362" spans="29:29" x14ac:dyDescent="0.3">
      <c r="AC362">
        <f>'معلومات الطلاب'!H362</f>
        <v>0</v>
      </c>
    </row>
    <row r="363" spans="29:29" x14ac:dyDescent="0.3">
      <c r="AC363">
        <f>'معلومات الطلاب'!H363</f>
        <v>0</v>
      </c>
    </row>
    <row r="364" spans="29:29" x14ac:dyDescent="0.3">
      <c r="AC364">
        <f>'معلومات الطلاب'!H364</f>
        <v>0</v>
      </c>
    </row>
    <row r="365" spans="29:29" x14ac:dyDescent="0.3">
      <c r="AC365">
        <f>'معلومات الطلاب'!H365</f>
        <v>0</v>
      </c>
    </row>
    <row r="366" spans="29:29" x14ac:dyDescent="0.3">
      <c r="AC366">
        <f>'معلومات الطلاب'!H366</f>
        <v>0</v>
      </c>
    </row>
    <row r="367" spans="29:29" x14ac:dyDescent="0.3">
      <c r="AC367">
        <f>'معلومات الطلاب'!H367</f>
        <v>0</v>
      </c>
    </row>
    <row r="368" spans="29:29" x14ac:dyDescent="0.3">
      <c r="AC368">
        <f>'معلومات الطلاب'!H368</f>
        <v>0</v>
      </c>
    </row>
    <row r="369" spans="29:29" x14ac:dyDescent="0.3">
      <c r="AC369">
        <f>'معلومات الطلاب'!H369</f>
        <v>0</v>
      </c>
    </row>
    <row r="370" spans="29:29" x14ac:dyDescent="0.3">
      <c r="AC370">
        <f>'معلومات الطلاب'!H370</f>
        <v>0</v>
      </c>
    </row>
    <row r="371" spans="29:29" x14ac:dyDescent="0.3">
      <c r="AC371">
        <f>'معلومات الطلاب'!H371</f>
        <v>0</v>
      </c>
    </row>
    <row r="372" spans="29:29" x14ac:dyDescent="0.3">
      <c r="AC372">
        <f>'معلومات الطلاب'!H372</f>
        <v>0</v>
      </c>
    </row>
    <row r="373" spans="29:29" x14ac:dyDescent="0.3">
      <c r="AC373">
        <f>'معلومات الطلاب'!H373</f>
        <v>0</v>
      </c>
    </row>
    <row r="374" spans="29:29" x14ac:dyDescent="0.3">
      <c r="AC374">
        <f>'معلومات الطلاب'!H374</f>
        <v>0</v>
      </c>
    </row>
    <row r="375" spans="29:29" x14ac:dyDescent="0.3">
      <c r="AC375">
        <f>'معلومات الطلاب'!H375</f>
        <v>0</v>
      </c>
    </row>
    <row r="376" spans="29:29" x14ac:dyDescent="0.3">
      <c r="AC376">
        <f>'معلومات الطلاب'!H376</f>
        <v>0</v>
      </c>
    </row>
    <row r="377" spans="29:29" x14ac:dyDescent="0.3">
      <c r="AC377">
        <f>'معلومات الطلاب'!H377</f>
        <v>0</v>
      </c>
    </row>
    <row r="378" spans="29:29" x14ac:dyDescent="0.3">
      <c r="AC378">
        <f>'معلومات الطلاب'!H378</f>
        <v>0</v>
      </c>
    </row>
    <row r="379" spans="29:29" x14ac:dyDescent="0.3">
      <c r="AC379">
        <f>'معلومات الطلاب'!H379</f>
        <v>0</v>
      </c>
    </row>
    <row r="380" spans="29:29" x14ac:dyDescent="0.3">
      <c r="AC380">
        <f>'معلومات الطلاب'!H380</f>
        <v>0</v>
      </c>
    </row>
    <row r="381" spans="29:29" x14ac:dyDescent="0.3">
      <c r="AC381">
        <f>'معلومات الطلاب'!H381</f>
        <v>0</v>
      </c>
    </row>
    <row r="382" spans="29:29" x14ac:dyDescent="0.3">
      <c r="AC382">
        <f>'معلومات الطلاب'!H382</f>
        <v>0</v>
      </c>
    </row>
    <row r="383" spans="29:29" x14ac:dyDescent="0.3">
      <c r="AC383">
        <f>'معلومات الطلاب'!H383</f>
        <v>0</v>
      </c>
    </row>
    <row r="384" spans="29:29" x14ac:dyDescent="0.3">
      <c r="AC384">
        <f>'معلومات الطلاب'!H384</f>
        <v>0</v>
      </c>
    </row>
    <row r="385" spans="29:29" x14ac:dyDescent="0.3">
      <c r="AC385">
        <f>'معلومات الطلاب'!H385</f>
        <v>0</v>
      </c>
    </row>
    <row r="386" spans="29:29" x14ac:dyDescent="0.3">
      <c r="AC386">
        <f>'معلومات الطلاب'!H386</f>
        <v>0</v>
      </c>
    </row>
    <row r="387" spans="29:29" x14ac:dyDescent="0.3">
      <c r="AC387">
        <f>'معلومات الطلاب'!H387</f>
        <v>0</v>
      </c>
    </row>
    <row r="388" spans="29:29" x14ac:dyDescent="0.3">
      <c r="AC388">
        <f>'معلومات الطلاب'!H388</f>
        <v>0</v>
      </c>
    </row>
    <row r="389" spans="29:29" x14ac:dyDescent="0.3">
      <c r="AC389">
        <f>'معلومات الطلاب'!H389</f>
        <v>0</v>
      </c>
    </row>
    <row r="390" spans="29:29" x14ac:dyDescent="0.3">
      <c r="AC390">
        <f>'معلومات الطلاب'!H390</f>
        <v>0</v>
      </c>
    </row>
    <row r="391" spans="29:29" x14ac:dyDescent="0.3">
      <c r="AC391">
        <f>'معلومات الطلاب'!H391</f>
        <v>0</v>
      </c>
    </row>
    <row r="392" spans="29:29" x14ac:dyDescent="0.3">
      <c r="AC392">
        <f>'معلومات الطلاب'!H392</f>
        <v>0</v>
      </c>
    </row>
    <row r="393" spans="29:29" x14ac:dyDescent="0.3">
      <c r="AC393">
        <f>'معلومات الطلاب'!H393</f>
        <v>0</v>
      </c>
    </row>
    <row r="394" spans="29:29" x14ac:dyDescent="0.3">
      <c r="AC394">
        <f>'معلومات الطلاب'!H394</f>
        <v>0</v>
      </c>
    </row>
    <row r="395" spans="29:29" x14ac:dyDescent="0.3">
      <c r="AC395">
        <f>'معلومات الطلاب'!H395</f>
        <v>0</v>
      </c>
    </row>
    <row r="396" spans="29:29" x14ac:dyDescent="0.3">
      <c r="AC396">
        <f>'معلومات الطلاب'!H396</f>
        <v>0</v>
      </c>
    </row>
    <row r="397" spans="29:29" x14ac:dyDescent="0.3">
      <c r="AC397">
        <f>'معلومات الطلاب'!H397</f>
        <v>0</v>
      </c>
    </row>
    <row r="398" spans="29:29" x14ac:dyDescent="0.3">
      <c r="AC398">
        <f>'معلومات الطلاب'!H398</f>
        <v>0</v>
      </c>
    </row>
    <row r="399" spans="29:29" x14ac:dyDescent="0.3">
      <c r="AC399">
        <f>'معلومات الطلاب'!H399</f>
        <v>0</v>
      </c>
    </row>
    <row r="400" spans="29:29" x14ac:dyDescent="0.3">
      <c r="AC400">
        <f>'معلومات الطلاب'!H400</f>
        <v>0</v>
      </c>
    </row>
    <row r="401" spans="29:29" x14ac:dyDescent="0.3">
      <c r="AC401">
        <f>'معلومات الطلاب'!H401</f>
        <v>0</v>
      </c>
    </row>
    <row r="402" spans="29:29" x14ac:dyDescent="0.3">
      <c r="AC402">
        <f>'معلومات الطلاب'!H402</f>
        <v>0</v>
      </c>
    </row>
    <row r="403" spans="29:29" x14ac:dyDescent="0.3">
      <c r="AC403">
        <f>'معلومات الطلاب'!H403</f>
        <v>0</v>
      </c>
    </row>
    <row r="404" spans="29:29" x14ac:dyDescent="0.3">
      <c r="AC404">
        <f>'معلومات الطلاب'!H404</f>
        <v>0</v>
      </c>
    </row>
    <row r="405" spans="29:29" x14ac:dyDescent="0.3">
      <c r="AC405">
        <f>'معلومات الطلاب'!H405</f>
        <v>0</v>
      </c>
    </row>
    <row r="406" spans="29:29" x14ac:dyDescent="0.3">
      <c r="AC406">
        <f>'معلومات الطلاب'!H406</f>
        <v>0</v>
      </c>
    </row>
    <row r="407" spans="29:29" x14ac:dyDescent="0.3">
      <c r="AC407">
        <f>'معلومات الطلاب'!H407</f>
        <v>0</v>
      </c>
    </row>
    <row r="408" spans="29:29" x14ac:dyDescent="0.3">
      <c r="AC408">
        <f>'معلومات الطلاب'!H408</f>
        <v>0</v>
      </c>
    </row>
    <row r="409" spans="29:29" x14ac:dyDescent="0.3">
      <c r="AC409">
        <f>'معلومات الطلاب'!H409</f>
        <v>0</v>
      </c>
    </row>
    <row r="410" spans="29:29" x14ac:dyDescent="0.3">
      <c r="AC410">
        <f>'معلومات الطلاب'!H410</f>
        <v>0</v>
      </c>
    </row>
    <row r="411" spans="29:29" x14ac:dyDescent="0.3">
      <c r="AC411">
        <f>'معلومات الطلاب'!H411</f>
        <v>0</v>
      </c>
    </row>
  </sheetData>
  <mergeCells count="1">
    <mergeCell ref="A2:AB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7"/>
  <sheetViews>
    <sheetView rightToLeft="1" workbookViewId="0">
      <selection activeCell="I7" sqref="I7"/>
    </sheetView>
  </sheetViews>
  <sheetFormatPr defaultRowHeight="14.4" x14ac:dyDescent="0.3"/>
  <cols>
    <col min="9" max="9" width="5.6640625" bestFit="1" customWidth="1"/>
  </cols>
  <sheetData>
    <row r="7" spans="9:9" x14ac:dyDescent="0.3">
      <c r="I7" t="e">
        <f>'[1]الفصل الدراسي الاول'!A5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معلومات الطلاب</vt:lpstr>
      <vt:lpstr>درجات الفصل الاول</vt:lpstr>
      <vt:lpstr>درجات الفصل الثاني</vt:lpstr>
      <vt:lpstr>ورقة1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2026-09-05T14:44:09Z</dcterms:created>
  <dcterms:modified xsi:type="dcterms:W3CDTF">2026-09-07T08:29:14Z</dcterms:modified>
</cp:coreProperties>
</file>