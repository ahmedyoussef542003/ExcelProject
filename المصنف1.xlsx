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Data" sheetId="4" r:id="rId1"/>
    <sheet name="Dashboard" sheetId="2" r:id="rId2"/>
    <sheet name="StudentReport" sheetId="5" r:id="rId3"/>
    <sheet name="Improvement" sheetId="1" r:id="rId4"/>
    <sheet name="SkillsAnalysis" sheetId="3" r:id="rId5"/>
  </sheets>
  <calcPr calcId="144525"/>
  <pivotCaches>
    <pivotCache cacheId="14" r:id="rId6"/>
  </pivotCaches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2" i="4"/>
  <c r="K3" i="4"/>
  <c r="K4" i="4"/>
  <c r="K5" i="4"/>
  <c r="K6" i="4"/>
  <c r="K7" i="4"/>
  <c r="K8" i="4"/>
  <c r="K2" i="4"/>
  <c r="K2" i="2"/>
  <c r="B8" i="2"/>
  <c r="B7" i="2"/>
  <c r="B6" i="2"/>
  <c r="B5" i="2"/>
  <c r="B9" i="2" s="1"/>
  <c r="B4" i="2"/>
</calcChain>
</file>

<file path=xl/sharedStrings.xml><?xml version="1.0" encoding="utf-8"?>
<sst xmlns="http://schemas.openxmlformats.org/spreadsheetml/2006/main" count="64" uniqueCount="28">
  <si>
    <t>Student</t>
  </si>
  <si>
    <t>Grade</t>
  </si>
  <si>
    <t>Class</t>
  </si>
  <si>
    <t>Subject</t>
  </si>
  <si>
    <t>Teacher</t>
  </si>
  <si>
    <t>Year</t>
  </si>
  <si>
    <t>TestType</t>
  </si>
  <si>
    <t>TotalScore</t>
  </si>
  <si>
    <t>StudentScore</t>
  </si>
  <si>
    <t>سارة أحمد</t>
  </si>
  <si>
    <t>منى خالد</t>
  </si>
  <si>
    <t>رياضيات</t>
  </si>
  <si>
    <t>نورة</t>
  </si>
  <si>
    <t>قبلي</t>
  </si>
  <si>
    <t>بعدي</t>
  </si>
  <si>
    <t>ليلى سعد</t>
  </si>
  <si>
    <t>علوم</t>
  </si>
  <si>
    <t>فاطمة</t>
  </si>
  <si>
    <t>Term</t>
  </si>
  <si>
    <t>الفصل الأول</t>
  </si>
  <si>
    <t>الفصل الثاني</t>
  </si>
  <si>
    <t>تسميات الصفوف</t>
  </si>
  <si>
    <t>(فارغ)</t>
  </si>
  <si>
    <t>الإجمالي الكلي</t>
  </si>
  <si>
    <t>النسبة المئوية</t>
  </si>
  <si>
    <t>التقديرات</t>
  </si>
  <si>
    <t>متوسط من النسبة المئوية</t>
  </si>
  <si>
    <t>(الكل)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</si>
</sst>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69.902666550923" createdVersion="4" refreshedVersion="4" minRefreshableVersion="3" recordCount="8">
  <cacheSource type="worksheet">
    <worksheetSource ref="A1:L1048576" sheet="Data"/>
  </cacheSource>
  <cacheFields count="12">
    <cacheField name="Student" numFmtId="0">
      <sharedItems containsBlank="1" count="4">
        <s v="سارة أحمد"/>
        <s v="منى خالد"/>
        <s v="ليلى سعد"/>
        <m/>
      </sharedItems>
    </cacheField>
    <cacheField name="Grade" numFmtId="0">
      <sharedItems containsString="0" containsBlank="1" containsNumber="1" containsInteger="1" minValue="5" maxValue="5" count="2">
        <n v="5"/>
        <m/>
      </sharedItems>
    </cacheField>
    <cacheField name="Class" numFmtId="0">
      <sharedItems containsString="0" containsBlank="1" containsNumber="1" containsInteger="1" minValue="1" maxValue="2" count="3">
        <n v="1"/>
        <n v="2"/>
        <m/>
      </sharedItems>
    </cacheField>
    <cacheField name="Subject" numFmtId="0">
      <sharedItems containsBlank="1" count="3">
        <s v="رياضيات"/>
        <s v="علوم"/>
        <m/>
      </sharedItems>
    </cacheField>
    <cacheField name="Teacher" numFmtId="0">
      <sharedItems containsBlank="1"/>
    </cacheField>
    <cacheField name="Year" numFmtId="0">
      <sharedItems containsString="0" containsBlank="1" containsNumber="1" containsInteger="1" minValue="2025" maxValue="2025" count="2">
        <n v="2025"/>
        <m/>
      </sharedItems>
    </cacheField>
    <cacheField name="Term" numFmtId="0">
      <sharedItems containsBlank="1" count="3">
        <s v="الفصل الأول"/>
        <s v="الفصل الثاني"/>
        <m/>
      </sharedItems>
    </cacheField>
    <cacheField name="TestType" numFmtId="0">
      <sharedItems containsBlank="1" count="3">
        <s v="قبلي"/>
        <s v="بعدي"/>
        <m/>
      </sharedItems>
    </cacheField>
    <cacheField name="TotalScore" numFmtId="0">
      <sharedItems containsString="0" containsBlank="1" containsNumber="1" containsInteger="1" minValue="20" maxValue="30"/>
    </cacheField>
    <cacheField name="StudentScore" numFmtId="0">
      <sharedItems containsString="0" containsBlank="1" containsNumber="1" containsInteger="1" minValue="14" maxValue="22"/>
    </cacheField>
    <cacheField name="النسبة المئوية" numFmtId="0">
      <sharedItems containsString="0" containsBlank="1" containsNumber="1" minValue="0.7" maxValue="1" count="8">
        <n v="0.75"/>
        <n v="0.95"/>
        <n v="0.85"/>
        <n v="1"/>
        <n v="0.7"/>
        <n v="0.9"/>
        <n v="0.73333333333333328"/>
        <m/>
      </sharedItems>
    </cacheField>
    <cacheField name="التقديرات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s v="نورة"/>
    <x v="0"/>
    <x v="0"/>
    <x v="0"/>
    <n v="20"/>
    <n v="15"/>
    <x v="0"/>
    <s v="جيد"/>
  </r>
  <r>
    <x v="0"/>
    <x v="0"/>
    <x v="0"/>
    <x v="0"/>
    <s v="نورة"/>
    <x v="0"/>
    <x v="0"/>
    <x v="1"/>
    <n v="20"/>
    <n v="19"/>
    <x v="1"/>
    <s v="ممتاز"/>
  </r>
  <r>
    <x v="0"/>
    <x v="0"/>
    <x v="0"/>
    <x v="0"/>
    <s v="نورة"/>
    <x v="0"/>
    <x v="1"/>
    <x v="0"/>
    <n v="20"/>
    <n v="17"/>
    <x v="2"/>
    <s v="جيد جداً"/>
  </r>
  <r>
    <x v="0"/>
    <x v="0"/>
    <x v="0"/>
    <x v="0"/>
    <s v="نورة"/>
    <x v="0"/>
    <x v="1"/>
    <x v="1"/>
    <n v="20"/>
    <n v="20"/>
    <x v="3"/>
    <s v="ممتاز"/>
  </r>
  <r>
    <x v="1"/>
    <x v="0"/>
    <x v="0"/>
    <x v="0"/>
    <s v="نورة"/>
    <x v="0"/>
    <x v="0"/>
    <x v="0"/>
    <n v="20"/>
    <n v="14"/>
    <x v="4"/>
    <s v="جيد"/>
  </r>
  <r>
    <x v="1"/>
    <x v="0"/>
    <x v="0"/>
    <x v="0"/>
    <s v="نورة"/>
    <x v="0"/>
    <x v="0"/>
    <x v="1"/>
    <n v="20"/>
    <n v="18"/>
    <x v="5"/>
    <s v="ممتاز"/>
  </r>
  <r>
    <x v="2"/>
    <x v="0"/>
    <x v="1"/>
    <x v="1"/>
    <s v="فاطمة"/>
    <x v="0"/>
    <x v="0"/>
    <x v="0"/>
    <n v="30"/>
    <n v="22"/>
    <x v="6"/>
    <s v="جيد"/>
  </r>
  <r>
    <x v="3"/>
    <x v="1"/>
    <x v="2"/>
    <x v="2"/>
    <m/>
    <x v="1"/>
    <x v="2"/>
    <x v="2"/>
    <m/>
    <m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" applyNumberFormats="0" applyBorderFormats="0" applyFontFormats="0" applyPatternFormats="0" applyAlignmentFormats="0" applyWidthHeightFormats="1" dataCaption="القيم" updatedVersion="4" minRefreshableVersion="3" useAutoFormatting="1" itemPrintTitles="1" createdVersion="4" indent="0" outline="1" outlineData="1" multipleFieldFilters="0">
  <location ref="A7:B12" firstHeaderRow="1" firstDataRow="1" firstDataCol="1" rowPageCount="5" colPageCount="1"/>
  <pivotFields count="12">
    <pivotField axis="axisRow" showAll="0">
      <items count="5">
        <item x="0"/>
        <item x="2"/>
        <item x="1"/>
        <item x="3"/>
        <item t="default"/>
      </items>
    </pivotField>
    <pivotField showAll="0">
      <items count="3"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9">
        <item x="4"/>
        <item x="6"/>
        <item x="0"/>
        <item x="2"/>
        <item x="5"/>
        <item x="1"/>
        <item x="3"/>
        <item x="7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5">
    <pageField fld="2" hier="-1"/>
    <pageField fld="6" hier="-1"/>
    <pageField fld="7" hier="-1"/>
    <pageField fld="5" hier="-1"/>
    <pageField fld="3" hier="-1"/>
  </pageFields>
  <dataFields count="1">
    <dataField name="متوسط من النسبة المئوية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H12" sqref="H12"/>
    </sheetView>
  </sheetViews>
  <sheetFormatPr defaultRowHeight="14.4" x14ac:dyDescent="0.3"/>
  <cols>
    <col min="3" max="3" width="8.88671875" style="1"/>
    <col min="8" max="8" width="9.77734375" bestFit="1" customWidth="1"/>
    <col min="9" max="10" width="11.77734375" bestFit="1" customWidth="1"/>
    <col min="11" max="11" width="13.77734375" bestFit="1" customWidth="1"/>
  </cols>
  <sheetData>
    <row r="1" spans="1:12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18</v>
      </c>
      <c r="H1" t="s">
        <v>6</v>
      </c>
      <c r="I1" t="s">
        <v>7</v>
      </c>
      <c r="J1" t="s">
        <v>8</v>
      </c>
      <c r="K1" t="s">
        <v>24</v>
      </c>
      <c r="L1" t="s">
        <v>25</v>
      </c>
    </row>
    <row r="2" spans="1:12" x14ac:dyDescent="0.3">
      <c r="A2" t="s">
        <v>9</v>
      </c>
      <c r="B2">
        <v>5</v>
      </c>
      <c r="C2" s="1">
        <v>1</v>
      </c>
      <c r="D2" t="s">
        <v>11</v>
      </c>
      <c r="E2" t="s">
        <v>12</v>
      </c>
      <c r="F2">
        <v>2025</v>
      </c>
      <c r="G2" t="s">
        <v>19</v>
      </c>
      <c r="H2" t="s">
        <v>13</v>
      </c>
      <c r="I2">
        <v>20</v>
      </c>
      <c r="J2">
        <v>15</v>
      </c>
      <c r="K2">
        <f>J2/I2</f>
        <v>0.75</v>
      </c>
      <c r="L2" t="str">
        <f>IF(K2&gt;=0.9,"ممتاز",IF(K2&gt;=0.8,"جيد جداً",IF(K2&gt;=0.7,"جيد",IF(K2&gt;=0.6,"مقبول","ضعيف"))))</f>
        <v>جيد</v>
      </c>
    </row>
    <row r="3" spans="1:12" x14ac:dyDescent="0.3">
      <c r="A3" t="s">
        <v>9</v>
      </c>
      <c r="B3">
        <v>5</v>
      </c>
      <c r="C3" s="1">
        <v>1</v>
      </c>
      <c r="D3" t="s">
        <v>11</v>
      </c>
      <c r="E3" t="s">
        <v>12</v>
      </c>
      <c r="F3">
        <v>2025</v>
      </c>
      <c r="G3" t="s">
        <v>19</v>
      </c>
      <c r="H3" t="s">
        <v>14</v>
      </c>
      <c r="I3">
        <v>20</v>
      </c>
      <c r="J3">
        <v>19</v>
      </c>
      <c r="K3">
        <f t="shared" ref="K3:K8" si="0">J3/I3</f>
        <v>0.95</v>
      </c>
      <c r="L3" t="str">
        <f t="shared" ref="L3:L8" si="1">IF(K3&gt;=0.9,"ممتاز",IF(K3&gt;=0.8,"جيد جداً",IF(K3&gt;=0.7,"جيد",IF(K3&gt;=0.6,"مقبول","ضعيف"))))</f>
        <v>ممتاز</v>
      </c>
    </row>
    <row r="4" spans="1:12" x14ac:dyDescent="0.3">
      <c r="A4" t="s">
        <v>9</v>
      </c>
      <c r="B4">
        <v>5</v>
      </c>
      <c r="C4" s="1">
        <v>1</v>
      </c>
      <c r="D4" t="s">
        <v>11</v>
      </c>
      <c r="E4" t="s">
        <v>12</v>
      </c>
      <c r="F4">
        <v>2025</v>
      </c>
      <c r="G4" t="s">
        <v>20</v>
      </c>
      <c r="H4" t="s">
        <v>13</v>
      </c>
      <c r="I4">
        <v>20</v>
      </c>
      <c r="J4">
        <v>17</v>
      </c>
      <c r="K4">
        <f t="shared" si="0"/>
        <v>0.85</v>
      </c>
      <c r="L4" t="str">
        <f t="shared" si="1"/>
        <v>جيد جداً</v>
      </c>
    </row>
    <row r="5" spans="1:12" x14ac:dyDescent="0.3">
      <c r="A5" t="s">
        <v>9</v>
      </c>
      <c r="B5">
        <v>5</v>
      </c>
      <c r="C5" s="1">
        <v>1</v>
      </c>
      <c r="D5" t="s">
        <v>11</v>
      </c>
      <c r="E5" t="s">
        <v>12</v>
      </c>
      <c r="F5">
        <v>2025</v>
      </c>
      <c r="G5" t="s">
        <v>20</v>
      </c>
      <c r="H5" t="s">
        <v>14</v>
      </c>
      <c r="I5">
        <v>20</v>
      </c>
      <c r="J5">
        <v>20</v>
      </c>
      <c r="K5">
        <f t="shared" si="0"/>
        <v>1</v>
      </c>
      <c r="L5" t="str">
        <f t="shared" si="1"/>
        <v>ممتاز</v>
      </c>
    </row>
    <row r="6" spans="1:12" x14ac:dyDescent="0.3">
      <c r="A6" t="s">
        <v>10</v>
      </c>
      <c r="B6">
        <v>5</v>
      </c>
      <c r="C6" s="1">
        <v>1</v>
      </c>
      <c r="D6" t="s">
        <v>11</v>
      </c>
      <c r="E6" t="s">
        <v>12</v>
      </c>
      <c r="F6">
        <v>2025</v>
      </c>
      <c r="G6" t="s">
        <v>19</v>
      </c>
      <c r="H6" t="s">
        <v>13</v>
      </c>
      <c r="I6">
        <v>20</v>
      </c>
      <c r="J6">
        <v>14</v>
      </c>
      <c r="K6">
        <f t="shared" si="0"/>
        <v>0.7</v>
      </c>
      <c r="L6" t="str">
        <f t="shared" si="1"/>
        <v>جيد</v>
      </c>
    </row>
    <row r="7" spans="1:12" x14ac:dyDescent="0.3">
      <c r="A7" t="s">
        <v>10</v>
      </c>
      <c r="B7">
        <v>5</v>
      </c>
      <c r="C7" s="1">
        <v>1</v>
      </c>
      <c r="D7" t="s">
        <v>11</v>
      </c>
      <c r="E7" t="s">
        <v>12</v>
      </c>
      <c r="F7">
        <v>2025</v>
      </c>
      <c r="G7" t="s">
        <v>19</v>
      </c>
      <c r="H7" t="s">
        <v>14</v>
      </c>
      <c r="I7">
        <v>20</v>
      </c>
      <c r="J7">
        <v>18</v>
      </c>
      <c r="K7">
        <f t="shared" si="0"/>
        <v>0.9</v>
      </c>
      <c r="L7" t="str">
        <f t="shared" si="1"/>
        <v>ممتاز</v>
      </c>
    </row>
    <row r="8" spans="1:12" x14ac:dyDescent="0.3">
      <c r="A8" t="s">
        <v>15</v>
      </c>
      <c r="B8">
        <v>5</v>
      </c>
      <c r="C8" s="1">
        <v>2</v>
      </c>
      <c r="D8" t="s">
        <v>16</v>
      </c>
      <c r="E8" t="s">
        <v>17</v>
      </c>
      <c r="F8">
        <v>2025</v>
      </c>
      <c r="G8" t="s">
        <v>19</v>
      </c>
      <c r="H8" t="s">
        <v>13</v>
      </c>
      <c r="I8">
        <v>30</v>
      </c>
      <c r="J8">
        <v>22</v>
      </c>
      <c r="K8">
        <f t="shared" si="0"/>
        <v>0.73333333333333328</v>
      </c>
      <c r="L8" t="str">
        <f t="shared" si="1"/>
        <v>جيد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workbookViewId="0">
      <selection activeCell="K2" sqref="K2"/>
    </sheetView>
  </sheetViews>
  <sheetFormatPr defaultRowHeight="14.4" x14ac:dyDescent="0.3"/>
  <cols>
    <col min="11" max="11" width="7.33203125" bestFit="1" customWidth="1"/>
  </cols>
  <sheetData>
    <row r="2" spans="2:11" x14ac:dyDescent="0.3">
      <c r="K2" t="e">
        <f>IF(I2/H2&gt;=0.9,"ممتاز",IF(I2/H2&gt;=0.8,"جيد جداً",IF(I2/H2&gt;=0.7,"جيد",IF(I2/H2&gt;=0.6,"مقبول","ضعيف"))))</f>
        <v>#DIV/0!</v>
      </c>
    </row>
    <row r="4" spans="2:11" x14ac:dyDescent="0.3">
      <c r="B4">
        <f>COUNTA(Data!A2:A100)</f>
        <v>7</v>
      </c>
    </row>
    <row r="5" spans="2:11" x14ac:dyDescent="0.3">
      <c r="B5">
        <f>AVERAGE(Data!I2:I100)</f>
        <v>21.428571428571427</v>
      </c>
    </row>
    <row r="6" spans="2:11" x14ac:dyDescent="0.3">
      <c r="B6">
        <f>MAX(Data!I2:I100)</f>
        <v>30</v>
      </c>
    </row>
    <row r="7" spans="2:11" x14ac:dyDescent="0.3">
      <c r="B7">
        <f>MIN(Data!I2:I100)</f>
        <v>20</v>
      </c>
    </row>
    <row r="8" spans="2:11" x14ac:dyDescent="0.3">
      <c r="B8">
        <f>COUNTIF(Data!I2:I100,"&gt;=50")/COUNTA(Data!I2:I100)</f>
        <v>0</v>
      </c>
    </row>
    <row r="9" spans="2:11" x14ac:dyDescent="0.3">
      <c r="B9" t="str">
        <f>IF(B5&gt;=90,"ممتاز",IF(B5&gt;=80,"جيد جداً",IF(B5&gt;=70,"جيد",IF(B5&gt;=60,"مقبول","ضعيف"))))</f>
        <v>ضعيف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4.4" x14ac:dyDescent="0.3"/>
  <cols>
    <col min="1" max="1" width="15.33203125" customWidth="1"/>
    <col min="2" max="2" width="18.77734375" bestFit="1" customWidth="1"/>
    <col min="3" max="3" width="17.44140625" customWidth="1"/>
  </cols>
  <sheetData>
    <row r="1" spans="1:2" x14ac:dyDescent="0.3">
      <c r="A1" s="2" t="s">
        <v>2</v>
      </c>
      <c r="B1" t="s">
        <v>27</v>
      </c>
    </row>
    <row r="2" spans="1:2" x14ac:dyDescent="0.3">
      <c r="A2" s="2" t="s">
        <v>18</v>
      </c>
      <c r="B2" t="s">
        <v>27</v>
      </c>
    </row>
    <row r="3" spans="1:2" x14ac:dyDescent="0.3">
      <c r="A3" s="2" t="s">
        <v>6</v>
      </c>
      <c r="B3" t="s">
        <v>27</v>
      </c>
    </row>
    <row r="4" spans="1:2" x14ac:dyDescent="0.3">
      <c r="A4" s="2" t="s">
        <v>5</v>
      </c>
      <c r="B4" t="s">
        <v>27</v>
      </c>
    </row>
    <row r="5" spans="1:2" x14ac:dyDescent="0.3">
      <c r="A5" s="2" t="s">
        <v>3</v>
      </c>
      <c r="B5" t="s">
        <v>27</v>
      </c>
    </row>
    <row r="7" spans="1:2" x14ac:dyDescent="0.3">
      <c r="A7" s="2" t="s">
        <v>21</v>
      </c>
      <c r="B7" t="s">
        <v>26</v>
      </c>
    </row>
    <row r="8" spans="1:2" x14ac:dyDescent="0.3">
      <c r="A8" s="3" t="s">
        <v>9</v>
      </c>
      <c r="B8" s="1">
        <v>0.88749999999999996</v>
      </c>
    </row>
    <row r="9" spans="1:2" x14ac:dyDescent="0.3">
      <c r="A9" s="3" t="s">
        <v>15</v>
      </c>
      <c r="B9" s="1">
        <v>0.73333333333333328</v>
      </c>
    </row>
    <row r="10" spans="1:2" x14ac:dyDescent="0.3">
      <c r="A10" s="3" t="s">
        <v>10</v>
      </c>
      <c r="B10" s="1">
        <v>0.8</v>
      </c>
    </row>
    <row r="11" spans="1:2" x14ac:dyDescent="0.3">
      <c r="A11" s="3" t="s">
        <v>22</v>
      </c>
      <c r="B11" s="1"/>
    </row>
    <row r="12" spans="1:2" x14ac:dyDescent="0.3">
      <c r="A12" s="3" t="s">
        <v>23</v>
      </c>
      <c r="B12" s="1">
        <v>0.84047619047619049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>
      <selection activeCell="B1" sqref="B1:H7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Data</vt:lpstr>
      <vt:lpstr>Dashboard</vt:lpstr>
      <vt:lpstr>StudentReport</vt:lpstr>
      <vt:lpstr>Improvement</vt:lpstr>
      <vt:lpstr>SkillsAnalysis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2026-09-04T17:30:06Z</dcterms:created>
  <dcterms:modified xsi:type="dcterms:W3CDTF">2026-09-04T18:48:41Z</dcterms:modified>
</cp:coreProperties>
</file>